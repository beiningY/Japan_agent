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onesia" sheetId="1" r:id="rId4"/>
    <sheet state="visible" name="Engs" sheetId="2" r:id="rId5"/>
  </sheets>
  <definedNames/>
  <calcPr/>
</workbook>
</file>

<file path=xl/sharedStrings.xml><?xml version="1.0" encoding="utf-8"?>
<sst xmlns="http://schemas.openxmlformats.org/spreadsheetml/2006/main" count="619" uniqueCount="415">
  <si>
    <r>
      <rPr>
        <rFont val="Calibri"/>
        <i/>
        <color rgb="FF000000"/>
        <sz val="8.0"/>
      </rPr>
      <t>Update:</t>
    </r>
    <r>
      <rPr>
        <rFont val="Times New Roman"/>
        <color rgb="FF000000"/>
        <sz val="8.0"/>
      </rPr>
      <t xml:space="preserve">    </t>
    </r>
    <r>
      <rPr>
        <rFont val="Calibri"/>
        <i/>
        <color rgb="FF000000"/>
        <sz val="8.0"/>
      </rPr>
      <t>03/06/2025</t>
    </r>
  </si>
  <si>
    <r>
      <rPr>
        <rFont val="Calibri"/>
        <b/>
        <color rgb="FF000000"/>
        <sz val="11.0"/>
      </rPr>
      <t>DAFTAR</t>
    </r>
    <r>
      <rPr>
        <rFont val="Times New Roman"/>
        <color rgb="FF000000"/>
        <sz val="11.0"/>
      </rPr>
      <t xml:space="preserve"> </t>
    </r>
    <r>
      <rPr>
        <rFont val="Calibri"/>
        <b/>
        <color rgb="FF000000"/>
        <sz val="11.0"/>
      </rPr>
      <t>LAPORAN</t>
    </r>
    <r>
      <rPr>
        <rFont val="Times New Roman"/>
        <color rgb="FF000000"/>
        <sz val="11.0"/>
      </rPr>
      <t xml:space="preserve"> </t>
    </r>
    <r>
      <rPr>
        <rFont val="Calibri"/>
        <b/>
        <color rgb="FF000000"/>
        <sz val="11.0"/>
      </rPr>
      <t>DAN</t>
    </r>
    <r>
      <rPr>
        <rFont val="Times New Roman"/>
        <color rgb="FF000000"/>
        <sz val="11.0"/>
      </rPr>
      <t xml:space="preserve"> </t>
    </r>
    <r>
      <rPr>
        <rFont val="Calibri"/>
        <b/>
        <color rgb="FF000000"/>
        <sz val="11.0"/>
      </rPr>
      <t>PEMBAYARAN</t>
    </r>
  </si>
  <si>
    <r>
      <rPr>
        <rFont val="Calibri"/>
        <b/>
        <color theme="1"/>
        <sz val="8.0"/>
      </rPr>
      <t>NO</t>
    </r>
  </si>
  <si>
    <r>
      <rPr>
        <rFont val="Calibri"/>
        <b/>
        <color rgb="FF000000"/>
        <sz val="8.0"/>
      </rPr>
      <t>JENIS</t>
    </r>
    <r>
      <rPr>
        <rFont val="Times New Roman"/>
        <color rgb="FF000000"/>
        <sz val="8.0"/>
      </rPr>
      <t xml:space="preserve"> </t>
    </r>
    <r>
      <rPr>
        <rFont val="Calibri"/>
        <b/>
        <color rgb="FF000000"/>
        <sz val="8.0"/>
      </rPr>
      <t>LAPORAN</t>
    </r>
    <r>
      <rPr>
        <rFont val="Times New Roman"/>
        <color rgb="FF000000"/>
        <sz val="8.0"/>
      </rPr>
      <t xml:space="preserve"> </t>
    </r>
    <r>
      <rPr>
        <rFont val="Calibri"/>
        <b/>
        <color rgb="FF000000"/>
        <sz val="8.0"/>
      </rPr>
      <t>&amp;</t>
    </r>
    <r>
      <rPr>
        <rFont val="Times New Roman"/>
        <color rgb="FF000000"/>
        <sz val="8.0"/>
      </rPr>
      <t xml:space="preserve"> </t>
    </r>
    <r>
      <rPr>
        <rFont val="Calibri"/>
        <b/>
        <color rgb="FF000000"/>
        <sz val="8.0"/>
      </rPr>
      <t>PEMBAYARAN</t>
    </r>
  </si>
  <si>
    <t>DITUJUKAN
KEPADA</t>
  </si>
  <si>
    <r>
      <rPr>
        <rFont val="Calibri"/>
        <b/>
        <color rgb="FF000000"/>
        <sz val="8.0"/>
      </rPr>
      <t>BATAS</t>
    </r>
    <r>
      <rPr>
        <rFont val="Times New Roman"/>
        <color rgb="FF000000"/>
        <sz val="8.0"/>
      </rPr>
      <t xml:space="preserve"> </t>
    </r>
    <r>
      <rPr>
        <rFont val="Calibri"/>
        <b/>
        <color rgb="FF000000"/>
        <sz val="8.0"/>
      </rPr>
      <t>AKHIR</t>
    </r>
  </si>
  <si>
    <r>
      <rPr>
        <rFont val="Calibri"/>
        <b/>
        <color theme="1"/>
        <sz val="8.0"/>
      </rPr>
      <t>KETERANGAN</t>
    </r>
  </si>
  <si>
    <t>LINK Peraturan</t>
  </si>
  <si>
    <r>
      <rPr>
        <rFont val="Calibri"/>
        <b/>
        <color rgb="FF000000"/>
        <sz val="8.0"/>
      </rPr>
      <t>DUA</t>
    </r>
    <r>
      <rPr>
        <rFont val="Times New Roman"/>
        <color rgb="FF000000"/>
        <sz val="8.0"/>
      </rPr>
      <t xml:space="preserve"> </t>
    </r>
    <r>
      <rPr>
        <rFont val="Calibri"/>
        <b/>
        <color rgb="FF000000"/>
        <sz val="8.0"/>
      </rPr>
      <t>MINGGUAN</t>
    </r>
  </si>
  <si>
    <r>
      <rPr>
        <rFont val="Calibri"/>
        <color theme="1"/>
        <sz val="8.0"/>
      </rPr>
      <t>OBOX</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</si>
  <si>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 xml:space="preserve">(OBOX
</t>
    </r>
    <r>
      <rPr>
        <rFont val="Calibri"/>
        <color rgb="FF000000"/>
        <sz val="8.0"/>
      </rPr>
      <t>AGENT)</t>
    </r>
  </si>
  <si>
    <r>
      <rPr>
        <rFont val="Calibri"/>
        <color rgb="FF000000"/>
        <sz val="8.0"/>
      </rPr>
      <t>SESUAI</t>
    </r>
    <r>
      <rPr>
        <rFont val="Times New Roman"/>
        <color rgb="FF000000"/>
        <sz val="8.0"/>
      </rPr>
      <t xml:space="preserve"> </t>
    </r>
    <r>
      <rPr>
        <rFont val="Calibri"/>
        <color rgb="FF000000"/>
        <sz val="8.0"/>
      </rPr>
      <t>JADWAL</t>
    </r>
    <r>
      <rPr>
        <rFont val="Times New Roman"/>
        <color rgb="FF000000"/>
        <sz val="8.0"/>
      </rPr>
      <t xml:space="preserve"> </t>
    </r>
    <r>
      <rPr>
        <rFont val="Calibri"/>
        <color rgb="FF000000"/>
        <sz val="8.0"/>
      </rPr>
      <t xml:space="preserve">OBOX
</t>
    </r>
    <r>
      <rPr>
        <rFont val="Calibri"/>
        <color rgb="FF000000"/>
        <sz val="8.0"/>
      </rPr>
      <t>(2</t>
    </r>
    <r>
      <rPr>
        <rFont val="Times New Roman"/>
        <color rgb="FF000000"/>
        <sz val="8.0"/>
      </rPr>
      <t xml:space="preserve"> </t>
    </r>
    <r>
      <rPr>
        <rFont val="Calibri"/>
        <color rgb="FF000000"/>
        <sz val="8.0"/>
      </rPr>
      <t>MINGGUAN)</t>
    </r>
  </si>
  <si>
    <r>
      <rPr>
        <rFont val="Calibri"/>
        <color rgb="FF000000"/>
        <sz val="8.0"/>
      </rPr>
      <t>POJK</t>
    </r>
    <r>
      <rPr>
        <rFont val="Times New Roman"/>
        <color rgb="FF000000"/>
        <sz val="8.0"/>
      </rPr>
      <t xml:space="preserve"> </t>
    </r>
    <r>
      <rPr>
        <rFont val="Calibri"/>
        <color rgb="FF000000"/>
        <sz val="8.0"/>
      </rPr>
      <t>62/POJK.03/2020</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13/POJK.02/2018</t>
    </r>
  </si>
  <si>
    <r>
      <rPr>
        <rFont val="Times New Roman"/>
        <color theme="1"/>
        <sz val="9.0"/>
      </rPr>
      <t xml:space="preserve">pojk 62-2020.pdf
</t>
    </r>
    <r>
      <rPr>
        <rFont val="Times New Roman"/>
        <color theme="1"/>
        <sz val="9.0"/>
      </rPr>
      <t>pojk 13-2018.pdf</t>
    </r>
  </si>
  <si>
    <r>
      <rPr>
        <rFont val="Calibri"/>
        <color rgb="FF000000"/>
        <sz val="8.0"/>
      </rPr>
      <t>LAPORAN</t>
    </r>
    <r>
      <rPr>
        <rFont val="Times New Roman"/>
        <color rgb="FF000000"/>
        <sz val="8.0"/>
      </rPr>
      <t xml:space="preserve"> </t>
    </r>
    <r>
      <rPr>
        <rFont val="Calibri"/>
        <color rgb="FF000000"/>
        <sz val="8.0"/>
      </rPr>
      <t>ACTION</t>
    </r>
    <r>
      <rPr>
        <rFont val="Times New Roman"/>
        <color rgb="FF000000"/>
        <sz val="8.0"/>
      </rPr>
      <t xml:space="preserve"> </t>
    </r>
    <r>
      <rPr>
        <rFont val="Calibri"/>
        <color rgb="FF000000"/>
        <sz val="8.0"/>
      </rPr>
      <t>PLAN</t>
    </r>
    <r>
      <rPr>
        <rFont val="Times New Roman"/>
        <color rgb="FF000000"/>
        <sz val="8.0"/>
      </rPr>
      <t xml:space="preserve"> </t>
    </r>
    <r>
      <rPr>
        <rFont val="Calibri"/>
        <color rgb="FF000000"/>
        <sz val="8.0"/>
      </rPr>
      <t xml:space="preserve">KREDIT
</t>
    </r>
    <r>
      <rPr>
        <rFont val="Calibri"/>
        <color rgb="FF000000"/>
        <sz val="8.0"/>
      </rPr>
      <t>BERMASALAH</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</si>
  <si>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 xml:space="preserve">(HARDCOPY
</t>
    </r>
    <r>
      <rPr>
        <rFont val="Calibri"/>
        <color rgb="FF000000"/>
        <sz val="8.0"/>
      </rPr>
      <t>KE</t>
    </r>
    <r>
      <rPr>
        <rFont val="Times New Roman"/>
        <color rgb="FF000000"/>
        <sz val="8.0"/>
      </rPr>
      <t xml:space="preserve"> </t>
    </r>
    <r>
      <rPr>
        <rFont val="Calibri"/>
        <color rgb="FF000000"/>
        <sz val="8.0"/>
      </rPr>
      <t>OJK)</t>
    </r>
  </si>
  <si>
    <r>
      <rPr>
        <rFont val="Calibri"/>
        <color rgb="FF000000"/>
        <sz val="8.0"/>
      </rPr>
      <t>2</t>
    </r>
    <r>
      <rPr>
        <rFont val="Times New Roman"/>
        <color rgb="FF000000"/>
        <sz val="8.0"/>
      </rPr>
      <t xml:space="preserve"> </t>
    </r>
    <r>
      <rPr>
        <rFont val="Calibri"/>
        <color rgb="FF000000"/>
        <sz val="8.0"/>
      </rPr>
      <t>MINGGUAN</t>
    </r>
  </si>
  <si>
    <r>
      <rPr>
        <rFont val="Calibri"/>
        <color theme="1"/>
        <sz val="8.0"/>
      </rPr>
      <t>-</t>
    </r>
  </si>
  <si>
    <r>
      <rPr>
        <rFont val="Calibri"/>
        <b/>
        <color theme="1"/>
        <sz val="8.0"/>
      </rPr>
      <t>BULANAN</t>
    </r>
  </si>
  <si>
    <r>
      <rPr>
        <rFont val="Calibri"/>
        <color rgb="FF000000"/>
        <sz val="8.0"/>
      </rPr>
      <t>DAFTAR</t>
    </r>
    <r>
      <rPr>
        <rFont val="Times New Roman"/>
        <color rgb="FF000000"/>
        <sz val="8.0"/>
      </rPr>
      <t xml:space="preserve"> </t>
    </r>
    <r>
      <rPr>
        <rFont val="Calibri"/>
        <color rgb="FF000000"/>
        <sz val="8.0"/>
      </rPr>
      <t>PESERTA</t>
    </r>
    <r>
      <rPr>
        <rFont val="Times New Roman"/>
        <color rgb="FF000000"/>
        <sz val="8.0"/>
      </rPr>
      <t xml:space="preserve"> </t>
    </r>
    <r>
      <rPr>
        <rFont val="Calibri"/>
        <color rgb="FF000000"/>
        <sz val="8.0"/>
      </rPr>
      <t>ASURANSI</t>
    </r>
  </si>
  <si>
    <r>
      <rPr>
        <rFont val="Calibri"/>
        <color rgb="FF000000"/>
        <sz val="8.0"/>
      </rPr>
      <t>ASURANSI</t>
    </r>
    <r>
      <rPr>
        <rFont val="Times New Roman"/>
        <color rgb="FF000000"/>
        <sz val="8.0"/>
      </rPr>
      <t xml:space="preserve"> </t>
    </r>
    <r>
      <rPr>
        <rFont val="Calibri"/>
        <color rgb="FF000000"/>
        <sz val="8.0"/>
      </rPr>
      <t>YG</t>
    </r>
    <r>
      <rPr>
        <rFont val="Times New Roman"/>
        <color rgb="FF000000"/>
        <sz val="8.0"/>
      </rPr>
      <t xml:space="preserve"> </t>
    </r>
    <r>
      <rPr>
        <rFont val="Calibri"/>
        <color rgb="FF000000"/>
        <sz val="8.0"/>
      </rPr>
      <t xml:space="preserve">BEKERJASAMA
</t>
    </r>
    <r>
      <rPr>
        <rFont val="Calibri"/>
        <color rgb="FF000000"/>
        <sz val="8.0"/>
      </rPr>
      <t>DENGAN</t>
    </r>
    <r>
      <rPr>
        <rFont val="Times New Roman"/>
        <color rgb="FF000000"/>
        <sz val="8.0"/>
      </rPr>
      <t xml:space="preserve"> </t>
    </r>
    <r>
      <rPr>
        <rFont val="Calibri"/>
        <color rgb="FF000000"/>
        <sz val="8.0"/>
      </rPr>
      <t>BPR</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</si>
  <si>
    <r>
      <rPr>
        <rFont val="Calibri"/>
        <color rgb="FF000000"/>
        <sz val="8.0"/>
      </rPr>
      <t>AWAL</t>
    </r>
    <r>
      <rPr>
        <rFont val="Times New Roman"/>
        <color rgb="FF000000"/>
        <sz val="8.0"/>
      </rPr>
      <t xml:space="preserve"> </t>
    </r>
    <r>
      <rPr>
        <rFont val="Calibri"/>
        <color rgb="FF000000"/>
        <sz val="8.0"/>
      </rPr>
      <t>BULAN</t>
    </r>
  </si>
  <si>
    <r>
      <rPr>
        <rFont val="Calibri"/>
        <color theme="1"/>
        <sz val="8.0"/>
      </rPr>
      <t>-</t>
    </r>
  </si>
  <si>
    <r>
      <rPr>
        <rFont val="Calibri"/>
        <color rgb="FF000000"/>
        <sz val="8.0"/>
      </rPr>
      <t>LAPORAN</t>
    </r>
    <r>
      <rPr>
        <rFont val="Times New Roman"/>
        <color rgb="FF000000"/>
        <sz val="8.0"/>
      </rPr>
      <t xml:space="preserve"> </t>
    </r>
    <r>
      <rPr>
        <rFont val="Calibri"/>
        <color rgb="FF000000"/>
        <sz val="8.0"/>
      </rPr>
      <t>MANAJEMEN</t>
    </r>
  </si>
  <si>
    <r>
      <rPr>
        <rFont val="Calibri"/>
        <color rgb="FF000000"/>
        <sz val="8.0"/>
      </rPr>
      <t>PSP</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DEKOM</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 xml:space="preserve">WHATSAPP
</t>
    </r>
    <r>
      <rPr>
        <rFont val="Calibri"/>
        <color rgb="FF000000"/>
        <sz val="8.0"/>
      </rPr>
      <t>&amp;</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(EKSPEDISI)</t>
    </r>
  </si>
  <si>
    <r>
      <rPr>
        <rFont val="Calibri"/>
        <color rgb="FF000000"/>
        <sz val="8.0"/>
      </rPr>
      <t>AWAL</t>
    </r>
    <r>
      <rPr>
        <rFont val="Times New Roman"/>
        <color rgb="FF000000"/>
        <sz val="8.0"/>
      </rPr>
      <t xml:space="preserve"> </t>
    </r>
    <r>
      <rPr>
        <rFont val="Calibri"/>
        <color rgb="FF000000"/>
        <sz val="8.0"/>
      </rPr>
      <t>BULAN</t>
    </r>
  </si>
  <si>
    <r>
      <rPr>
        <rFont val="Calibri"/>
        <color theme="1"/>
        <sz val="8.0"/>
      </rPr>
      <t>-</t>
    </r>
  </si>
  <si>
    <r>
      <rPr>
        <rFont val="Calibri"/>
        <color rgb="FF000000"/>
        <sz val="8.0"/>
      </rPr>
      <t>LAPORAN</t>
    </r>
    <r>
      <rPr>
        <rFont val="Times New Roman"/>
        <color rgb="FF000000"/>
        <sz val="8.0"/>
      </rPr>
      <t xml:space="preserve"> </t>
    </r>
    <r>
      <rPr>
        <rFont val="Calibri"/>
        <color rgb="FF000000"/>
        <sz val="8.0"/>
      </rPr>
      <t>SLIK</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</si>
  <si>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(SLIK</t>
    </r>
    <r>
      <rPr>
        <rFont val="Times New Roman"/>
        <color rgb="FF000000"/>
        <sz val="8.0"/>
      </rPr>
      <t xml:space="preserve"> </t>
    </r>
    <r>
      <rPr>
        <rFont val="Calibri"/>
        <color rgb="FF000000"/>
        <sz val="8.0"/>
      </rPr>
      <t>CLIENT)</t>
    </r>
  </si>
  <si>
    <r>
      <rPr>
        <rFont val="Calibri"/>
        <color rgb="FF000000"/>
        <sz val="8.0"/>
      </rPr>
      <t>TGL</t>
    </r>
    <r>
      <rPr>
        <rFont val="Times New Roman"/>
        <color rgb="FF000000"/>
        <sz val="8.0"/>
      </rPr>
      <t xml:space="preserve"> </t>
    </r>
    <r>
      <rPr>
        <rFont val="Calibri"/>
        <color rgb="FF000000"/>
        <sz val="8.0"/>
      </rPr>
      <t>12</t>
    </r>
    <r>
      <rPr>
        <rFont val="Times New Roman"/>
        <color rgb="FF000000"/>
        <sz val="8.0"/>
      </rPr>
      <t xml:space="preserve"> </t>
    </r>
    <r>
      <rPr>
        <rFont val="Calibri"/>
        <color rgb="FF000000"/>
        <sz val="8.0"/>
      </rPr>
      <t>BULAN</t>
    </r>
    <r>
      <rPr>
        <rFont val="Times New Roman"/>
        <color rgb="FF000000"/>
        <sz val="8.0"/>
      </rPr>
      <t xml:space="preserve"> </t>
    </r>
    <r>
      <rPr>
        <rFont val="Calibri"/>
        <color rgb="FF000000"/>
        <sz val="8.0"/>
      </rPr>
      <t>BERIKUTNYA</t>
    </r>
  </si>
  <si>
    <r>
      <rPr>
        <rFont val="Calibri"/>
        <color rgb="FF000000"/>
        <sz val="8.0"/>
      </rPr>
      <t>SAL</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18/POJK.03/2017</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No.50/SEOJK.03/2017</t>
    </r>
  </si>
  <si>
    <t>POJK 18 - 2017.pdf SEOJK 50-2017.pdf</t>
  </si>
  <si>
    <r>
      <rPr>
        <rFont val="Calibri"/>
        <color rgb="FF000000"/>
        <sz val="8.0"/>
      </rPr>
      <t>LAPORAN</t>
    </r>
    <r>
      <rPr>
        <rFont val="Times New Roman"/>
        <color rgb="FF000000"/>
        <sz val="8.0"/>
      </rPr>
      <t xml:space="preserve"> </t>
    </r>
    <r>
      <rPr>
        <rFont val="Calibri"/>
        <color rgb="FF000000"/>
        <sz val="8.0"/>
      </rPr>
      <t>BULANAN</t>
    </r>
    <r>
      <rPr>
        <rFont val="Times New Roman"/>
        <color rgb="FF000000"/>
        <sz val="8.0"/>
      </rPr>
      <t xml:space="preserve"> </t>
    </r>
    <r>
      <rPr>
        <rFont val="Calibri"/>
        <color rgb="FF000000"/>
        <sz val="8.0"/>
      </rPr>
      <t>TERMASUK</t>
    </r>
    <r>
      <rPr>
        <rFont val="Times New Roman"/>
        <color rgb="FF000000"/>
        <sz val="8.0"/>
      </rPr>
      <t xml:space="preserve"> </t>
    </r>
    <r>
      <rPr>
        <rFont val="Calibri"/>
        <color rgb="FF000000"/>
        <sz val="8.0"/>
      </rPr>
      <t xml:space="preserve">TERKAIT
</t>
    </r>
    <r>
      <rPr>
        <rFont val="Calibri"/>
        <color rgb="FF000000"/>
        <sz val="8.0"/>
      </rPr>
      <t>-</t>
    </r>
    <r>
      <rPr>
        <rFont val="Times New Roman"/>
        <color rgb="FF000000"/>
        <sz val="8.0"/>
      </rPr>
      <t xml:space="preserve"> </t>
    </r>
    <r>
      <rPr>
        <rFont val="Calibri"/>
        <color rgb="FF000000"/>
        <sz val="8.0"/>
      </rPr>
      <t xml:space="preserve">BMPK/BMPD,
</t>
    </r>
    <r>
      <rPr>
        <rFont val="Calibri"/>
        <color rgb="FF000000"/>
        <sz val="8.0"/>
      </rPr>
      <t>-</t>
    </r>
    <r>
      <rPr>
        <rFont val="Times New Roman"/>
        <color rgb="FF000000"/>
        <sz val="8.0"/>
      </rPr>
      <t xml:space="preserve"> </t>
    </r>
    <r>
      <rPr>
        <rFont val="Calibri"/>
        <color rgb="FF000000"/>
        <sz val="8.0"/>
      </rPr>
      <t>TPPU,</t>
    </r>
    <r>
      <rPr>
        <rFont val="Times New Roman"/>
        <color rgb="FF000000"/>
        <sz val="8.0"/>
      </rPr>
      <t xml:space="preserve"> </t>
    </r>
    <r>
      <rPr>
        <rFont val="Calibri"/>
        <color rgb="FF000000"/>
        <sz val="8.0"/>
      </rPr>
      <t>TPPT,</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 xml:space="preserve">PPSPM,
</t>
    </r>
    <r>
      <rPr>
        <rFont val="Calibri"/>
        <color rgb="FF000000"/>
        <sz val="8.0"/>
      </rPr>
      <t>-</t>
    </r>
    <r>
      <rPr>
        <rFont val="Times New Roman"/>
        <color rgb="FF000000"/>
        <sz val="8.0"/>
      </rPr>
      <t xml:space="preserve"> </t>
    </r>
    <r>
      <rPr>
        <rFont val="Calibri"/>
        <color rgb="FF000000"/>
        <sz val="8.0"/>
      </rPr>
      <t>DATA</t>
    </r>
    <r>
      <rPr>
        <rFont val="Times New Roman"/>
        <color rgb="FF000000"/>
        <sz val="8.0"/>
      </rPr>
      <t xml:space="preserve"> </t>
    </r>
    <r>
      <rPr>
        <rFont val="Calibri"/>
        <color rgb="FF000000"/>
        <sz val="8.0"/>
      </rPr>
      <t>KELEMBAGAAN</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</si>
  <si>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</si>
  <si>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TGL</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BULAN</t>
    </r>
    <r>
      <rPr>
        <rFont val="Times New Roman"/>
        <color rgb="FF000000"/>
        <sz val="8.0"/>
      </rPr>
      <t xml:space="preserve"> </t>
    </r>
    <r>
      <rPr>
        <rFont val="Calibri"/>
        <color rgb="FF000000"/>
        <sz val="8.0"/>
      </rPr>
      <t>BERIKUTNYA</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</si>
  <si>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13/POJK.03/2019</t>
    </r>
    <r>
      <rPr>
        <rFont val="Times New Roman"/>
        <color rgb="FF000000"/>
        <sz val="8.0"/>
      </rPr>
      <t xml:space="preserve"> </t>
    </r>
    <r>
      <rPr>
        <rFont val="Calibri"/>
        <color rgb="FF000000"/>
        <sz val="8.0"/>
      </rPr>
      <t>serta</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12/SEOJK.03/2022,</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</si>
  <si>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r>
      <rPr>
        <rFont val="Times New Roman"/>
        <color theme="1"/>
        <sz val="8.0"/>
      </rPr>
      <t>pojk 13-2019.pdf</t>
    </r>
    <r>
      <rPr>
        <rFont val="Times New Roman"/>
        <color theme="1"/>
        <sz val="7.0"/>
      </rPr>
      <t xml:space="preserve"> </t>
    </r>
    <r>
      <rPr>
        <rFont val="Times New Roman"/>
        <color theme="1"/>
        <sz val="8.0"/>
      </rPr>
      <t>SEOJK 12  - 2022.pdf</t>
    </r>
    <r>
      <rPr>
        <rFont val="Times New Roman"/>
        <color theme="1"/>
        <sz val="7.0"/>
      </rPr>
      <t xml:space="preserve"> </t>
    </r>
    <r>
      <rPr>
        <rFont val="Times New Roman"/>
        <color theme="1"/>
        <sz val="8.0"/>
      </rPr>
      <t>POJK 23 - 2024.pdf</t>
    </r>
  </si>
  <si>
    <r>
      <rPr>
        <rFont val="Calibri"/>
        <color rgb="FF000000"/>
        <sz val="8.0"/>
      </rPr>
      <t>PEMBAYARAN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21</t>
    </r>
  </si>
  <si>
    <r>
      <rPr>
        <rFont val="Calibri"/>
        <color rgb="FF000000"/>
        <sz val="8.0"/>
      </rPr>
      <t>DIREKTORAT</t>
    </r>
    <r>
      <rPr>
        <rFont val="Times New Roman"/>
        <color rgb="FF000000"/>
        <sz val="8.0"/>
      </rPr>
      <t xml:space="preserve"> </t>
    </r>
    <r>
      <rPr>
        <rFont val="Calibri"/>
        <color rgb="FF000000"/>
        <sz val="8.0"/>
      </rPr>
      <t>JENDRAL</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(KANTOR</t>
    </r>
    <r>
      <rPr>
        <rFont val="Times New Roman"/>
        <color rgb="FF000000"/>
        <sz val="8.0"/>
      </rPr>
      <t xml:space="preserve"> </t>
    </r>
    <r>
      <rPr>
        <rFont val="Calibri"/>
        <color rgb="FF000000"/>
        <sz val="8.0"/>
      </rPr>
      <t>POS)</t>
    </r>
  </si>
  <si>
    <r>
      <rPr>
        <rFont val="Calibri"/>
        <color rgb="FF000000"/>
        <sz val="8.0"/>
      </rPr>
      <t>UU</t>
    </r>
    <r>
      <rPr>
        <rFont val="Times New Roman"/>
        <color rgb="FF000000"/>
        <sz val="8.0"/>
      </rPr>
      <t xml:space="preserve"> </t>
    </r>
    <r>
      <rPr>
        <rFont val="Calibri"/>
        <color rgb="FF000000"/>
        <sz val="8.0"/>
      </rPr>
      <t>No.36</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2008</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21</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Yang</t>
    </r>
    <r>
      <rPr>
        <rFont val="Times New Roman"/>
        <color rgb="FF000000"/>
        <sz val="8.0"/>
      </rPr>
      <t xml:space="preserve"> </t>
    </r>
    <r>
      <rPr>
        <rFont val="Calibri"/>
        <color rgb="FF000000"/>
        <sz val="8.0"/>
      </rPr>
      <t>terbaru</t>
    </r>
    <r>
      <rPr>
        <rFont val="Times New Roman"/>
        <color rgb="FF000000"/>
        <sz val="8.0"/>
      </rPr>
      <t xml:space="preserve"> </t>
    </r>
    <r>
      <rPr>
        <rFont val="Calibri"/>
        <color rgb="FF000000"/>
        <sz val="8.0"/>
      </rPr>
      <t>Peraturan</t>
    </r>
    <r>
      <rPr>
        <rFont val="Times New Roman"/>
        <color rgb="FF000000"/>
        <sz val="8.0"/>
      </rPr>
      <t xml:space="preserve"> </t>
    </r>
    <r>
      <rPr>
        <rFont val="Calibri"/>
        <color rgb="FF000000"/>
        <sz val="8.0"/>
      </rPr>
      <t>Direktur</t>
    </r>
    <r>
      <rPr>
        <rFont val="Times New Roman"/>
        <color rgb="FF000000"/>
        <sz val="8.0"/>
      </rPr>
      <t xml:space="preserve"> </t>
    </r>
    <r>
      <rPr>
        <rFont val="Calibri"/>
        <color rgb="FF000000"/>
        <sz val="8.0"/>
      </rPr>
      <t>Jenderal</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PER16/PJ/2017</t>
    </r>
  </si>
  <si>
    <t>UU Nomor 36 Tahun 2008.pdf Peraturan Direktur Jenderal Pajak No. PER16-PJ-2017.pdf</t>
  </si>
  <si>
    <r>
      <rPr>
        <rFont val="Calibri"/>
        <color rgb="FF000000"/>
        <sz val="8.0"/>
      </rPr>
      <t>PEMBAYARAN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25</t>
    </r>
  </si>
  <si>
    <r>
      <rPr>
        <rFont val="Calibri"/>
        <color rgb="FF000000"/>
        <sz val="8.0"/>
      </rPr>
      <t>DIREKTORAT</t>
    </r>
    <r>
      <rPr>
        <rFont val="Times New Roman"/>
        <color rgb="FF000000"/>
        <sz val="8.0"/>
      </rPr>
      <t xml:space="preserve"> </t>
    </r>
    <r>
      <rPr>
        <rFont val="Calibri"/>
        <color rgb="FF000000"/>
        <sz val="8.0"/>
      </rPr>
      <t xml:space="preserve">JENDRAL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(KANTOR</t>
    </r>
  </si>
  <si>
    <r>
      <rPr>
        <rFont val="Calibri"/>
        <color rgb="FF000000"/>
        <sz val="8.0"/>
      </rPr>
      <t>UU</t>
    </r>
    <r>
      <rPr>
        <rFont val="Times New Roman"/>
        <color rgb="FF000000"/>
        <sz val="8.0"/>
      </rPr>
      <t xml:space="preserve"> </t>
    </r>
    <r>
      <rPr>
        <rFont val="Calibri"/>
        <color rgb="FF000000"/>
        <sz val="8.0"/>
      </rPr>
      <t>No.36</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2008</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25</t>
    </r>
  </si>
  <si>
    <t>UU Nomor 36 Tahun 2008.pdf</t>
  </si>
  <si>
    <r>
      <rPr>
        <rFont val="Calibri"/>
        <color rgb="FF000000"/>
        <sz val="8.0"/>
      </rPr>
      <t>PEMBAYARAN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23/26</t>
    </r>
  </si>
  <si>
    <r>
      <rPr>
        <rFont val="Calibri"/>
        <color rgb="FF000000"/>
        <sz val="8.0"/>
      </rPr>
      <t>DIREKTORAT</t>
    </r>
    <r>
      <rPr>
        <rFont val="Times New Roman"/>
        <color rgb="FF000000"/>
        <sz val="8.0"/>
      </rPr>
      <t xml:space="preserve"> </t>
    </r>
    <r>
      <rPr>
        <rFont val="Calibri"/>
        <color rgb="FF000000"/>
        <sz val="8.0"/>
      </rPr>
      <t xml:space="preserve">JENDRAL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(KANTOR</t>
    </r>
  </si>
  <si>
    <r>
      <rPr>
        <rFont val="Calibri"/>
        <color rgb="FF000000"/>
        <sz val="8.0"/>
      </rPr>
      <t>UU</t>
    </r>
    <r>
      <rPr>
        <rFont val="Times New Roman"/>
        <color rgb="FF000000"/>
        <sz val="8.0"/>
      </rPr>
      <t xml:space="preserve"> </t>
    </r>
    <r>
      <rPr>
        <rFont val="Calibri"/>
        <color rgb="FF000000"/>
        <sz val="8.0"/>
      </rPr>
      <t>No.36</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2008</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 xml:space="preserve">Pasal
</t>
    </r>
    <r>
      <rPr>
        <rFont val="Calibri"/>
        <color rgb="FF000000"/>
        <sz val="8.0"/>
      </rPr>
      <t>24</t>
    </r>
  </si>
  <si>
    <r>
      <rPr>
        <rFont val="Calibri"/>
        <color rgb="FF000000"/>
        <sz val="8.0"/>
      </rPr>
      <t>PEMBAYARAN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4</t>
    </r>
    <r>
      <rPr>
        <rFont val="Times New Roman"/>
        <color rgb="FF000000"/>
        <sz val="8.0"/>
      </rPr>
      <t xml:space="preserve"> </t>
    </r>
    <r>
      <rPr>
        <rFont val="Calibri"/>
        <color rgb="FF000000"/>
        <sz val="8.0"/>
      </rPr>
      <t>AYAT</t>
    </r>
    <r>
      <rPr>
        <rFont val="Times New Roman"/>
        <color rgb="FF000000"/>
        <sz val="8.0"/>
      </rPr>
      <t xml:space="preserve"> </t>
    </r>
    <r>
      <rPr>
        <rFont val="Calibri"/>
        <color rgb="FF000000"/>
        <sz val="8.0"/>
      </rPr>
      <t>2</t>
    </r>
  </si>
  <si>
    <r>
      <rPr>
        <rFont val="Calibri"/>
        <color rgb="FF000000"/>
        <sz val="8.0"/>
      </rPr>
      <t>DIREKTORAT</t>
    </r>
    <r>
      <rPr>
        <rFont val="Times New Roman"/>
        <color rgb="FF000000"/>
        <sz val="8.0"/>
      </rPr>
      <t xml:space="preserve"> </t>
    </r>
    <r>
      <rPr>
        <rFont val="Calibri"/>
        <color rgb="FF000000"/>
        <sz val="8.0"/>
      </rPr>
      <t>JENDRAL</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(KANTOR</t>
    </r>
  </si>
  <si>
    <r>
      <rPr>
        <rFont val="Calibri"/>
        <color rgb="FF000000"/>
        <sz val="8.0"/>
      </rPr>
      <t>UU</t>
    </r>
    <r>
      <rPr>
        <rFont val="Times New Roman"/>
        <color rgb="FF000000"/>
        <sz val="8.0"/>
      </rPr>
      <t xml:space="preserve"> </t>
    </r>
    <r>
      <rPr>
        <rFont val="Calibri"/>
        <color rgb="FF000000"/>
        <sz val="8.0"/>
      </rPr>
      <t>No.36</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2008</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4</t>
    </r>
    <r>
      <rPr>
        <rFont val="Times New Roman"/>
        <color rgb="FF000000"/>
        <sz val="8.0"/>
      </rPr>
      <t xml:space="preserve"> </t>
    </r>
    <r>
      <rPr>
        <rFont val="Calibri"/>
        <color rgb="FF000000"/>
        <sz val="8.0"/>
      </rPr>
      <t>ayat</t>
    </r>
    <r>
      <rPr>
        <rFont val="Times New Roman"/>
        <color rgb="FF000000"/>
        <sz val="8.0"/>
      </rPr>
      <t xml:space="preserve"> </t>
    </r>
    <r>
      <rPr>
        <rFont val="Calibri"/>
        <color rgb="FF000000"/>
        <sz val="8.0"/>
      </rPr>
      <t>3</t>
    </r>
  </si>
  <si>
    <r>
      <rPr>
        <rFont val="Calibri"/>
        <color rgb="FF000000"/>
        <sz val="8.0"/>
      </rPr>
      <t>PEMBAYARAN</t>
    </r>
    <r>
      <rPr>
        <rFont val="Times New Roman"/>
        <color rgb="FF000000"/>
        <sz val="8.0"/>
      </rPr>
      <t xml:space="preserve"> </t>
    </r>
    <r>
      <rPr>
        <rFont val="Calibri"/>
        <color rgb="FF000000"/>
        <sz val="8.0"/>
      </rPr>
      <t>BPJS</t>
    </r>
    <r>
      <rPr>
        <rFont val="Times New Roman"/>
        <color rgb="FF000000"/>
        <sz val="8.0"/>
      </rPr>
      <t xml:space="preserve"> </t>
    </r>
    <r>
      <rPr>
        <rFont val="Calibri"/>
        <color rgb="FF000000"/>
        <sz val="8.0"/>
      </rPr>
      <t>KETENAGAKERJAAN</t>
    </r>
  </si>
  <si>
    <r>
      <rPr>
        <rFont val="Calibri"/>
        <color rgb="FF000000"/>
        <sz val="8.0"/>
      </rPr>
      <t>BPJS</t>
    </r>
    <r>
      <rPr>
        <rFont val="Times New Roman"/>
        <color rgb="FF000000"/>
        <sz val="8.0"/>
      </rPr>
      <t xml:space="preserve"> </t>
    </r>
    <r>
      <rPr>
        <rFont val="Calibri"/>
        <color rgb="FF000000"/>
        <sz val="8.0"/>
      </rPr>
      <t>KETENAGAKERJAAN</t>
    </r>
    <r>
      <rPr>
        <rFont val="Times New Roman"/>
        <color rgb="FF000000"/>
        <sz val="8.0"/>
      </rPr>
      <t xml:space="preserve"> </t>
    </r>
    <r>
      <rPr>
        <rFont val="Calibri"/>
        <color rgb="FF000000"/>
        <sz val="8.0"/>
      </rPr>
      <t xml:space="preserve">/
</t>
    </r>
    <r>
      <rPr>
        <rFont val="Calibri"/>
        <color rgb="FF000000"/>
        <sz val="8.0"/>
      </rPr>
      <t>BANK</t>
    </r>
    <r>
      <rPr>
        <rFont val="Times New Roman"/>
        <color rgb="FF000000"/>
        <sz val="8.0"/>
      </rPr>
      <t xml:space="preserve"> </t>
    </r>
    <r>
      <rPr>
        <rFont val="Calibri"/>
        <color rgb="FF000000"/>
        <sz val="8.0"/>
      </rPr>
      <t>HIMBARA</t>
    </r>
  </si>
  <si>
    <r>
      <rPr>
        <rFont val="Calibri"/>
        <color rgb="FF000000"/>
        <sz val="8.0"/>
      </rPr>
      <t>PMK</t>
    </r>
    <r>
      <rPr>
        <rFont val="Times New Roman"/>
        <color rgb="FF000000"/>
        <sz val="8.0"/>
      </rPr>
      <t xml:space="preserve"> </t>
    </r>
    <r>
      <rPr>
        <rFont val="Calibri"/>
        <color rgb="FF000000"/>
        <sz val="8.0"/>
      </rPr>
      <t>No.1</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2016</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PBPJSK</t>
    </r>
    <r>
      <rPr>
        <rFont val="Times New Roman"/>
        <color rgb="FF000000"/>
        <sz val="8.0"/>
      </rPr>
      <t xml:space="preserve"> </t>
    </r>
    <r>
      <rPr>
        <rFont val="Calibri"/>
        <color rgb="FF000000"/>
        <sz val="8.0"/>
      </rPr>
      <t>No.5</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2018</t>
    </r>
  </si>
  <si>
    <t>UU Nomor 1 Tahun 2016.pdf PBPJS-5-2018.pdf</t>
  </si>
  <si>
    <r>
      <rPr>
        <rFont val="Calibri"/>
        <color rgb="FF000000"/>
        <sz val="8.0"/>
      </rPr>
      <t>PEMBAYARAN</t>
    </r>
    <r>
      <rPr>
        <rFont val="Times New Roman"/>
        <color rgb="FF000000"/>
        <sz val="8.0"/>
      </rPr>
      <t xml:space="preserve"> </t>
    </r>
    <r>
      <rPr>
        <rFont val="Calibri"/>
        <color rgb="FF000000"/>
        <sz val="8.0"/>
      </rPr>
      <t>BPJS</t>
    </r>
    <r>
      <rPr>
        <rFont val="Times New Roman"/>
        <color rgb="FF000000"/>
        <sz val="8.0"/>
      </rPr>
      <t xml:space="preserve"> </t>
    </r>
    <r>
      <rPr>
        <rFont val="Calibri"/>
        <color rgb="FF000000"/>
        <sz val="8.0"/>
      </rPr>
      <t>KESEHATAN</t>
    </r>
  </si>
  <si>
    <r>
      <rPr>
        <rFont val="Calibri"/>
        <color rgb="FF000000"/>
        <sz val="8.0"/>
      </rPr>
      <t>BPJS</t>
    </r>
    <r>
      <rPr>
        <rFont val="Times New Roman"/>
        <color rgb="FF000000"/>
        <sz val="8.0"/>
      </rPr>
      <t xml:space="preserve"> </t>
    </r>
    <r>
      <rPr>
        <rFont val="Calibri"/>
        <color rgb="FF000000"/>
        <sz val="8.0"/>
      </rPr>
      <t>KETENAGAKERJAAN</t>
    </r>
    <r>
      <rPr>
        <rFont val="Times New Roman"/>
        <color rgb="FF000000"/>
        <sz val="8.0"/>
      </rPr>
      <t xml:space="preserve"> </t>
    </r>
    <r>
      <rPr>
        <rFont val="Calibri"/>
        <color rgb="FF000000"/>
        <sz val="8.0"/>
      </rPr>
      <t xml:space="preserve">/
</t>
    </r>
    <r>
      <rPr>
        <rFont val="Calibri"/>
        <color rgb="FF000000"/>
        <sz val="8.0"/>
      </rPr>
      <t>BANK</t>
    </r>
    <r>
      <rPr>
        <rFont val="Times New Roman"/>
        <color rgb="FF000000"/>
        <sz val="8.0"/>
      </rPr>
      <t xml:space="preserve"> </t>
    </r>
    <r>
      <rPr>
        <rFont val="Calibri"/>
        <color rgb="FF000000"/>
        <sz val="8.0"/>
      </rPr>
      <t>HIMBARA</t>
    </r>
  </si>
  <si>
    <r>
      <rPr>
        <rFont val="Calibri"/>
        <color rgb="FF000000"/>
        <sz val="8.0"/>
      </rPr>
      <t>PMK</t>
    </r>
    <r>
      <rPr>
        <rFont val="Times New Roman"/>
        <color rgb="FF000000"/>
        <sz val="8.0"/>
      </rPr>
      <t xml:space="preserve"> </t>
    </r>
    <r>
      <rPr>
        <rFont val="Calibri"/>
        <color rgb="FF000000"/>
        <sz val="8.0"/>
      </rPr>
      <t>No.1</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2016</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PBPJSK</t>
    </r>
    <r>
      <rPr>
        <rFont val="Times New Roman"/>
        <color rgb="FF000000"/>
        <sz val="8.0"/>
      </rPr>
      <t xml:space="preserve"> </t>
    </r>
    <r>
      <rPr>
        <rFont val="Calibri"/>
        <color rgb="FF000000"/>
        <sz val="8.0"/>
      </rPr>
      <t>No.5</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2019</t>
    </r>
  </si>
  <si>
    <t>UU Nomor 1 Tahun 2016.pdf PBPJS-5-2019.pdf</t>
  </si>
  <si>
    <r>
      <rPr>
        <rFont val="Calibri"/>
        <color rgb="FF000000"/>
        <sz val="8.0"/>
      </rPr>
      <t>LAPORAN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21</t>
    </r>
  </si>
  <si>
    <r>
      <rPr>
        <rFont val="Calibri"/>
        <color rgb="FF000000"/>
        <sz val="8.0"/>
      </rPr>
      <t>DIREKTORAT</t>
    </r>
    <r>
      <rPr>
        <rFont val="Times New Roman"/>
        <color rgb="FF000000"/>
        <sz val="8.0"/>
      </rPr>
      <t xml:space="preserve"> </t>
    </r>
    <r>
      <rPr>
        <rFont val="Calibri"/>
        <color rgb="FF000000"/>
        <sz val="8.0"/>
      </rPr>
      <t>JENDRAL</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(DJP</t>
    </r>
    <r>
      <rPr>
        <rFont val="Times New Roman"/>
        <color rgb="FF000000"/>
        <sz val="8.0"/>
      </rPr>
      <t xml:space="preserve"> </t>
    </r>
    <r>
      <rPr>
        <rFont val="Calibri"/>
        <color rgb="FF000000"/>
        <sz val="8.0"/>
      </rPr>
      <t>ONLINE)</t>
    </r>
  </si>
  <si>
    <r>
      <rPr>
        <rFont val="Calibri"/>
        <color rgb="FF000000"/>
        <sz val="8.0"/>
      </rPr>
      <t>TGL</t>
    </r>
    <r>
      <rPr>
        <rFont val="Times New Roman"/>
        <color rgb="FF000000"/>
        <sz val="8.0"/>
      </rPr>
      <t xml:space="preserve"> </t>
    </r>
    <r>
      <rPr>
        <rFont val="Calibri"/>
        <color rgb="FF000000"/>
        <sz val="8.0"/>
      </rPr>
      <t>20</t>
    </r>
    <r>
      <rPr>
        <rFont val="Times New Roman"/>
        <color rgb="FF000000"/>
        <sz val="8.0"/>
      </rPr>
      <t xml:space="preserve"> </t>
    </r>
    <r>
      <rPr>
        <rFont val="Calibri"/>
        <color rgb="FF000000"/>
        <sz val="8.0"/>
      </rPr>
      <t>BULAN</t>
    </r>
    <r>
      <rPr>
        <rFont val="Times New Roman"/>
        <color rgb="FF000000"/>
        <sz val="8.0"/>
      </rPr>
      <t xml:space="preserve"> </t>
    </r>
    <r>
      <rPr>
        <rFont val="Calibri"/>
        <color rgb="FF000000"/>
        <sz val="8.0"/>
      </rPr>
      <t>BERIKUTNYA</t>
    </r>
  </si>
  <si>
    <r>
      <rPr>
        <rFont val="Calibri"/>
        <color rgb="FF000000"/>
        <sz val="8.0"/>
      </rPr>
      <t>UU</t>
    </r>
    <r>
      <rPr>
        <rFont val="Times New Roman"/>
        <color rgb="FF000000"/>
        <sz val="8.0"/>
      </rPr>
      <t xml:space="preserve"> </t>
    </r>
    <r>
      <rPr>
        <rFont val="Calibri"/>
        <color rgb="FF000000"/>
        <sz val="8.0"/>
      </rPr>
      <t>No.36</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2008</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21</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Yang</t>
    </r>
    <r>
      <rPr>
        <rFont val="Times New Roman"/>
        <color rgb="FF000000"/>
        <sz val="8.0"/>
      </rPr>
      <t xml:space="preserve"> </t>
    </r>
    <r>
      <rPr>
        <rFont val="Calibri"/>
        <color rgb="FF000000"/>
        <sz val="8.0"/>
      </rPr>
      <t>terbaru</t>
    </r>
    <r>
      <rPr>
        <rFont val="Times New Roman"/>
        <color rgb="FF000000"/>
        <sz val="8.0"/>
      </rPr>
      <t xml:space="preserve"> </t>
    </r>
    <r>
      <rPr>
        <rFont val="Calibri"/>
        <color rgb="FF000000"/>
        <sz val="8.0"/>
      </rPr>
      <t>Peraturan</t>
    </r>
    <r>
      <rPr>
        <rFont val="Times New Roman"/>
        <color rgb="FF000000"/>
        <sz val="8.0"/>
      </rPr>
      <t xml:space="preserve"> </t>
    </r>
    <r>
      <rPr>
        <rFont val="Calibri"/>
        <color rgb="FF000000"/>
        <sz val="8.0"/>
      </rPr>
      <t>Direktur</t>
    </r>
    <r>
      <rPr>
        <rFont val="Times New Roman"/>
        <color rgb="FF000000"/>
        <sz val="8.0"/>
      </rPr>
      <t xml:space="preserve"> </t>
    </r>
    <r>
      <rPr>
        <rFont val="Calibri"/>
        <color rgb="FF000000"/>
        <sz val="8.0"/>
      </rPr>
      <t>Jenderal</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PER16/PJ/2016</t>
    </r>
  </si>
  <si>
    <t>UU Nomor 36 Tahun 2008.pdf Peraturan Direktur Jenderal Pajak No. PER16-PJ-2016.pdf</t>
  </si>
  <si>
    <r>
      <rPr>
        <rFont val="Calibri"/>
        <color rgb="FF000000"/>
        <sz val="8.0"/>
      </rPr>
      <t>LAPORAN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25</t>
    </r>
  </si>
  <si>
    <r>
      <rPr>
        <rFont val="Calibri"/>
        <color rgb="FF000000"/>
        <sz val="8.0"/>
      </rPr>
      <t>DIREKTORAT</t>
    </r>
    <r>
      <rPr>
        <rFont val="Times New Roman"/>
        <color rgb="FF000000"/>
        <sz val="8.0"/>
      </rPr>
      <t xml:space="preserve"> </t>
    </r>
    <r>
      <rPr>
        <rFont val="Calibri"/>
        <color rgb="FF000000"/>
        <sz val="8.0"/>
      </rPr>
      <t xml:space="preserve">JENDRAL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(DJP</t>
    </r>
  </si>
  <si>
    <r>
      <rPr>
        <rFont val="Calibri"/>
        <color rgb="FF000000"/>
        <sz val="8.0"/>
      </rPr>
      <t>UU</t>
    </r>
    <r>
      <rPr>
        <rFont val="Times New Roman"/>
        <color rgb="FF000000"/>
        <sz val="8.0"/>
      </rPr>
      <t xml:space="preserve"> </t>
    </r>
    <r>
      <rPr>
        <rFont val="Calibri"/>
        <color rgb="FF000000"/>
        <sz val="8.0"/>
      </rPr>
      <t>No.36</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2008</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25</t>
    </r>
  </si>
  <si>
    <r>
      <rPr>
        <rFont val="Calibri"/>
        <color rgb="FF000000"/>
        <sz val="8.0"/>
      </rPr>
      <t>LAPORAN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23/26</t>
    </r>
  </si>
  <si>
    <r>
      <rPr>
        <rFont val="Calibri"/>
        <color rgb="FF000000"/>
        <sz val="8.0"/>
      </rPr>
      <t>DIREKTORAT</t>
    </r>
    <r>
      <rPr>
        <rFont val="Times New Roman"/>
        <color rgb="FF000000"/>
        <sz val="8.0"/>
      </rPr>
      <t xml:space="preserve"> </t>
    </r>
    <r>
      <rPr>
        <rFont val="Calibri"/>
        <color rgb="FF000000"/>
        <sz val="8.0"/>
      </rPr>
      <t xml:space="preserve">JENDRAL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(DJP</t>
    </r>
  </si>
  <si>
    <r>
      <rPr>
        <rFont val="Calibri"/>
        <color rgb="FF000000"/>
        <sz val="8.0"/>
      </rPr>
      <t>UU</t>
    </r>
    <r>
      <rPr>
        <rFont val="Times New Roman"/>
        <color rgb="FF000000"/>
        <sz val="8.0"/>
      </rPr>
      <t xml:space="preserve"> </t>
    </r>
    <r>
      <rPr>
        <rFont val="Calibri"/>
        <color rgb="FF000000"/>
        <sz val="8.0"/>
      </rPr>
      <t>No.36</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2008</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23</t>
    </r>
  </si>
  <si>
    <r>
      <rPr>
        <rFont val="Calibri"/>
        <color rgb="FF000000"/>
        <sz val="8.0"/>
      </rPr>
      <t>LAPORAN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4</t>
    </r>
    <r>
      <rPr>
        <rFont val="Times New Roman"/>
        <color rgb="FF000000"/>
        <sz val="8.0"/>
      </rPr>
      <t xml:space="preserve"> </t>
    </r>
    <r>
      <rPr>
        <rFont val="Calibri"/>
        <color rgb="FF000000"/>
        <sz val="8.0"/>
      </rPr>
      <t>AYAT</t>
    </r>
    <r>
      <rPr>
        <rFont val="Times New Roman"/>
        <color rgb="FF000000"/>
        <sz val="8.0"/>
      </rPr>
      <t xml:space="preserve"> </t>
    </r>
    <r>
      <rPr>
        <rFont val="Calibri"/>
        <color rgb="FF000000"/>
        <sz val="8.0"/>
      </rPr>
      <t>2</t>
    </r>
  </si>
  <si>
    <r>
      <rPr>
        <rFont val="Calibri"/>
        <color rgb="FF000000"/>
        <sz val="8.0"/>
      </rPr>
      <t>DIREKTORAT</t>
    </r>
    <r>
      <rPr>
        <rFont val="Times New Roman"/>
        <color rgb="FF000000"/>
        <sz val="8.0"/>
      </rPr>
      <t xml:space="preserve"> </t>
    </r>
    <r>
      <rPr>
        <rFont val="Calibri"/>
        <color rgb="FF000000"/>
        <sz val="8.0"/>
      </rPr>
      <t xml:space="preserve">JENDRAL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(DJP</t>
    </r>
  </si>
  <si>
    <r>
      <rPr>
        <rFont val="Calibri"/>
        <color rgb="FF000000"/>
        <sz val="8.0"/>
      </rPr>
      <t>UU</t>
    </r>
    <r>
      <rPr>
        <rFont val="Times New Roman"/>
        <color rgb="FF000000"/>
        <sz val="8.0"/>
      </rPr>
      <t xml:space="preserve"> </t>
    </r>
    <r>
      <rPr>
        <rFont val="Calibri"/>
        <color rgb="FF000000"/>
        <sz val="8.0"/>
      </rPr>
      <t>No.36</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2008</t>
    </r>
    <r>
      <rPr>
        <rFont val="Times New Roman"/>
        <color rgb="FF000000"/>
        <sz val="8.0"/>
      </rPr>
      <t xml:space="preserve"> </t>
    </r>
    <r>
      <rPr>
        <rFont val="Calibri"/>
        <color rgb="FF000000"/>
        <sz val="8.0"/>
      </rPr>
      <t>Pph</t>
    </r>
    <r>
      <rPr>
        <rFont val="Times New Roman"/>
        <color rgb="FF000000"/>
        <sz val="8.0"/>
      </rPr>
      <t xml:space="preserve"> </t>
    </r>
    <r>
      <rPr>
        <rFont val="Calibri"/>
        <color rgb="FF000000"/>
        <sz val="8.0"/>
      </rPr>
      <t>Pasal</t>
    </r>
    <r>
      <rPr>
        <rFont val="Times New Roman"/>
        <color rgb="FF000000"/>
        <sz val="8.0"/>
      </rPr>
      <t xml:space="preserve"> </t>
    </r>
    <r>
      <rPr>
        <rFont val="Calibri"/>
        <color rgb="FF000000"/>
        <sz val="8.0"/>
      </rPr>
      <t xml:space="preserve">4
</t>
    </r>
    <r>
      <rPr>
        <rFont val="Calibri"/>
        <color rgb="FF000000"/>
        <sz val="8.0"/>
      </rPr>
      <t>ayat</t>
    </r>
    <r>
      <rPr>
        <rFont val="Times New Roman"/>
        <color rgb="FF000000"/>
        <sz val="8.0"/>
      </rPr>
      <t xml:space="preserve"> </t>
    </r>
    <r>
      <rPr>
        <rFont val="Calibri"/>
        <color rgb="FF000000"/>
        <sz val="8.0"/>
      </rPr>
      <t>2</t>
    </r>
  </si>
  <si>
    <r>
      <rPr>
        <rFont val="Calibri"/>
        <b/>
        <color theme="1"/>
        <sz val="8.0"/>
      </rPr>
      <t>TRIWULAN</t>
    </r>
  </si>
  <si>
    <r>
      <rPr>
        <rFont val="Calibri"/>
        <color rgb="FF000000"/>
        <sz val="8.0"/>
      </rPr>
      <t>LAPORAN</t>
    </r>
    <r>
      <rPr>
        <rFont val="Times New Roman"/>
        <color rgb="FF000000"/>
        <sz val="8.0"/>
      </rPr>
      <t xml:space="preserve"> </t>
    </r>
    <r>
      <rPr>
        <rFont val="Calibri"/>
        <color rgb="FF000000"/>
        <sz val="8.0"/>
      </rPr>
      <t>TABUNGAN</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DEPOSITO</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</si>
  <si>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(WEB</t>
    </r>
    <r>
      <rPr>
        <rFont val="Times New Roman"/>
        <color rgb="FF000000"/>
        <sz val="8.0"/>
      </rPr>
      <t xml:space="preserve"> </t>
    </r>
    <r>
      <rPr>
        <rFont val="Calibri"/>
        <color rgb="FF000000"/>
        <sz val="8.0"/>
      </rPr>
      <t>SIPESAT)</t>
    </r>
  </si>
  <si>
    <r>
      <rPr>
        <rFont val="Calibri"/>
        <color rgb="FF000000"/>
        <sz val="8.0"/>
      </rPr>
      <t>15</t>
    </r>
    <r>
      <rPr>
        <rFont val="Times New Roman"/>
        <color rgb="FF000000"/>
        <sz val="8.0"/>
      </rPr>
      <t xml:space="preserve"> </t>
    </r>
    <r>
      <rPr>
        <rFont val="Calibri"/>
        <color rgb="FF000000"/>
        <sz val="8.0"/>
      </rPr>
      <t>APR,</t>
    </r>
    <r>
      <rPr>
        <rFont val="Times New Roman"/>
        <color rgb="FF000000"/>
        <sz val="8.0"/>
      </rPr>
      <t xml:space="preserve"> </t>
    </r>
    <r>
      <rPr>
        <rFont val="Calibri"/>
        <color rgb="FF000000"/>
        <sz val="8.0"/>
      </rPr>
      <t>15</t>
    </r>
    <r>
      <rPr>
        <rFont val="Times New Roman"/>
        <color rgb="FF000000"/>
        <sz val="8.0"/>
      </rPr>
      <t xml:space="preserve"> </t>
    </r>
    <r>
      <rPr>
        <rFont val="Calibri"/>
        <color rgb="FF000000"/>
        <sz val="8.0"/>
      </rPr>
      <t xml:space="preserve">JULI,
</t>
    </r>
    <r>
      <rPr>
        <rFont val="Calibri"/>
        <color rgb="FF000000"/>
        <sz val="8.0"/>
      </rPr>
      <t>15</t>
    </r>
    <r>
      <rPr>
        <rFont val="Times New Roman"/>
        <color rgb="FF000000"/>
        <sz val="8.0"/>
      </rPr>
      <t xml:space="preserve"> </t>
    </r>
    <r>
      <rPr>
        <rFont val="Calibri"/>
        <color rgb="FF000000"/>
        <sz val="8.0"/>
      </rPr>
      <t>OKT,</t>
    </r>
    <r>
      <rPr>
        <rFont val="Times New Roman"/>
        <color rgb="FF000000"/>
        <sz val="8.0"/>
      </rPr>
      <t xml:space="preserve"> </t>
    </r>
    <r>
      <rPr>
        <rFont val="Calibri"/>
        <color rgb="FF000000"/>
        <sz val="8.0"/>
      </rPr>
      <t>15</t>
    </r>
    <r>
      <rPr>
        <rFont val="Times New Roman"/>
        <color rgb="FF000000"/>
        <sz val="8.0"/>
      </rPr>
      <t xml:space="preserve"> </t>
    </r>
    <r>
      <rPr>
        <rFont val="Calibri"/>
        <color rgb="FF000000"/>
        <sz val="8.0"/>
      </rPr>
      <t>JAN</t>
    </r>
  </si>
  <si>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30/SEOJK.07/2017</t>
    </r>
  </si>
  <si>
    <t>SEOJK 30 - 2017.pdf</t>
  </si>
  <si>
    <r>
      <rPr>
        <rFont val="Calibri"/>
        <color rgb="FF000000"/>
        <sz val="8.0"/>
      </rPr>
      <t>LAPORAN</t>
    </r>
    <r>
      <rPr>
        <rFont val="Times New Roman"/>
        <color rgb="FF000000"/>
        <sz val="8.0"/>
      </rPr>
      <t xml:space="preserve"> </t>
    </r>
    <r>
      <rPr>
        <rFont val="Calibri"/>
        <color rgb="FF000000"/>
        <sz val="8.0"/>
      </rPr>
      <t>BUKTI</t>
    </r>
    <r>
      <rPr>
        <rFont val="Times New Roman"/>
        <color rgb="FF000000"/>
        <sz val="8.0"/>
      </rPr>
      <t xml:space="preserve"> </t>
    </r>
    <r>
      <rPr>
        <rFont val="Calibri"/>
        <color rgb="FF000000"/>
        <sz val="8.0"/>
      </rPr>
      <t>PENEMPELAN</t>
    </r>
    <r>
      <rPr>
        <rFont val="Times New Roman"/>
        <color rgb="FF000000"/>
        <sz val="8.0"/>
      </rPr>
      <t xml:space="preserve"> </t>
    </r>
    <r>
      <rPr>
        <rFont val="Calibri"/>
        <color rgb="FF000000"/>
        <sz val="8.0"/>
      </rPr>
      <t>PUBLIKASI</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</si>
  <si>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</si>
  <si>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30</t>
    </r>
    <r>
      <rPr>
        <rFont val="Times New Roman"/>
        <color rgb="FF000000"/>
        <sz val="8.0"/>
      </rPr>
      <t xml:space="preserve"> </t>
    </r>
    <r>
      <rPr>
        <rFont val="Calibri"/>
        <color rgb="FF000000"/>
        <sz val="8.0"/>
      </rPr>
      <t>APR,</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 xml:space="preserve">JULI,
</t>
    </r>
    <r>
      <rPr>
        <rFont val="Calibri"/>
        <color rgb="FF000000"/>
        <sz val="8.0"/>
      </rPr>
      <t>31</t>
    </r>
    <r>
      <rPr>
        <rFont val="Times New Roman"/>
        <color rgb="FF000000"/>
        <sz val="8.0"/>
      </rPr>
      <t xml:space="preserve"> </t>
    </r>
    <r>
      <rPr>
        <rFont val="Calibri"/>
        <color rgb="FF000000"/>
        <sz val="8.0"/>
      </rPr>
      <t>OKT,</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</si>
  <si>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48/POJK.03/2017</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
No.16/SEOJK.03/2019</t>
    </r>
    <r>
      <rPr>
        <rFont val="Times New Roman"/>
        <color rgb="FF000000"/>
        <sz val="8.0"/>
      </rPr>
      <t xml:space="preserve"> </t>
    </r>
    <r>
      <rPr>
        <rFont val="Calibri"/>
        <color rgb="FF000000"/>
        <sz val="8.0"/>
      </rPr>
      <t>tentang</t>
    </r>
    <r>
      <rPr>
        <rFont val="Times New Roman"/>
        <color rgb="FF000000"/>
        <sz val="8.0"/>
      </rPr>
      <t xml:space="preserve"> </t>
    </r>
    <r>
      <rPr>
        <rFont val="Calibri"/>
        <color rgb="FF000000"/>
        <sz val="8.0"/>
      </rPr>
      <t>perubahan</t>
    </r>
    <r>
      <rPr>
        <rFont val="Times New Roman"/>
        <color rgb="FF000000"/>
        <sz val="8.0"/>
      </rPr>
      <t xml:space="preserve"> </t>
    </r>
    <r>
      <rPr>
        <rFont val="Calibri"/>
        <color rgb="FF000000"/>
        <sz val="8.0"/>
      </rPr>
      <t>atas</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No.39/SEOJK.03/2017</t>
    </r>
  </si>
  <si>
    <t>POJK 48 - 2017.pdf SEOJK 16 - 2019.pdf</t>
  </si>
  <si>
    <r>
      <rPr>
        <rFont val="Calibri"/>
        <color rgb="FF000000"/>
        <sz val="8.0"/>
      </rPr>
      <t>LAPORAN</t>
    </r>
    <r>
      <rPr>
        <rFont val="Times New Roman"/>
        <color rgb="FF000000"/>
        <sz val="8.0"/>
      </rPr>
      <t xml:space="preserve"> </t>
    </r>
    <r>
      <rPr>
        <rFont val="Calibri"/>
        <color rgb="FF000000"/>
        <sz val="8.0"/>
      </rPr>
      <t>PUBLIKASI</t>
    </r>
    <r>
      <rPr>
        <rFont val="Times New Roman"/>
        <color rgb="FF000000"/>
        <sz val="8.0"/>
      </rPr>
      <t xml:space="preserve"> </t>
    </r>
    <r>
      <rPr>
        <rFont val="Calibri"/>
        <b/>
        <i/>
        <color rgb="FF000000"/>
        <sz val="8.0"/>
      </rPr>
      <t>(INCLUDE</t>
    </r>
    <r>
      <rPr>
        <rFont val="Times New Roman"/>
        <color rgb="FF000000"/>
        <sz val="8.0"/>
      </rPr>
      <t xml:space="preserve"> </t>
    </r>
    <r>
      <rPr>
        <rFont val="Calibri"/>
        <b/>
        <i/>
        <color rgb="FF000000"/>
        <sz val="8.0"/>
      </rPr>
      <t>LABUL)</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</si>
  <si>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</si>
  <si>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10</t>
    </r>
    <r>
      <rPr>
        <rFont val="Times New Roman"/>
        <color rgb="FF000000"/>
        <sz val="8.0"/>
      </rPr>
      <t xml:space="preserve"> </t>
    </r>
    <r>
      <rPr>
        <rFont val="Calibri"/>
        <color rgb="FF000000"/>
        <sz val="8.0"/>
      </rPr>
      <t>APR,</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 xml:space="preserve">JULI,
</t>
    </r>
    <r>
      <rPr>
        <rFont val="Calibri"/>
        <color rgb="FF000000"/>
        <sz val="8.0"/>
      </rPr>
      <t>10</t>
    </r>
    <r>
      <rPr>
        <rFont val="Times New Roman"/>
        <color rgb="FF000000"/>
        <sz val="8.0"/>
      </rPr>
      <t xml:space="preserve"> </t>
    </r>
    <r>
      <rPr>
        <rFont val="Calibri"/>
        <color rgb="FF000000"/>
        <sz val="8.0"/>
      </rPr>
      <t>OKT,</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JAN</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</si>
  <si>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48/POJK.03/2017</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 xml:space="preserve">No.16/SEOJK.03/2019
</t>
    </r>
    <r>
      <rPr>
        <rFont val="Calibri"/>
        <color rgb="FF000000"/>
        <sz val="8.0"/>
      </rPr>
      <t>tentang</t>
    </r>
    <r>
      <rPr>
        <rFont val="Times New Roman"/>
        <color rgb="FF000000"/>
        <sz val="8.0"/>
      </rPr>
      <t xml:space="preserve"> </t>
    </r>
    <r>
      <rPr>
        <rFont val="Calibri"/>
        <color rgb="FF000000"/>
        <sz val="8.0"/>
      </rPr>
      <t>perubahan</t>
    </r>
    <r>
      <rPr>
        <rFont val="Times New Roman"/>
        <color rgb="FF000000"/>
        <sz val="8.0"/>
      </rPr>
      <t xml:space="preserve"> </t>
    </r>
    <r>
      <rPr>
        <rFont val="Calibri"/>
        <color rgb="FF000000"/>
        <sz val="8.0"/>
      </rPr>
      <t>atas</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No.39/SEOJK.03/2017</t>
    </r>
  </si>
  <si>
    <r>
      <rPr>
        <rFont val="Calibri"/>
        <color rgb="FF000000"/>
        <sz val="8.0"/>
      </rPr>
      <t>PEMBAYARAN</t>
    </r>
    <r>
      <rPr>
        <rFont val="Times New Roman"/>
        <color rgb="FF000000"/>
        <sz val="8.0"/>
      </rPr>
      <t xml:space="preserve"> </t>
    </r>
    <r>
      <rPr>
        <rFont val="Calibri"/>
        <color rgb="FF000000"/>
        <sz val="8.0"/>
      </rPr>
      <t>IURAN</t>
    </r>
    <r>
      <rPr>
        <rFont val="Times New Roman"/>
        <color rgb="FF000000"/>
        <sz val="8.0"/>
      </rPr>
      <t xml:space="preserve"> </t>
    </r>
    <r>
      <rPr>
        <rFont val="Calibri"/>
        <color rgb="FF000000"/>
        <sz val="8.0"/>
      </rPr>
      <t>OJK</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</si>
  <si>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(WEB</t>
    </r>
    <r>
      <rPr>
        <rFont val="Times New Roman"/>
        <color rgb="FF000000"/>
        <sz val="8.0"/>
      </rPr>
      <t xml:space="preserve"> </t>
    </r>
    <r>
      <rPr>
        <rFont val="Calibri"/>
        <color rgb="FF000000"/>
        <sz val="8.0"/>
      </rPr>
      <t>SIPO)</t>
    </r>
  </si>
  <si>
    <r>
      <rPr>
        <rFont val="Calibri"/>
        <color rgb="FF000000"/>
        <sz val="8.0"/>
      </rPr>
      <t>15</t>
    </r>
    <r>
      <rPr>
        <rFont val="Times New Roman"/>
        <color rgb="FF000000"/>
        <sz val="8.0"/>
      </rPr>
      <t xml:space="preserve"> </t>
    </r>
    <r>
      <rPr>
        <rFont val="Calibri"/>
        <color rgb="FF000000"/>
        <sz val="8.0"/>
      </rPr>
      <t>APR,</t>
    </r>
    <r>
      <rPr>
        <rFont val="Times New Roman"/>
        <color rgb="FF000000"/>
        <sz val="8.0"/>
      </rPr>
      <t xml:space="preserve"> </t>
    </r>
    <r>
      <rPr>
        <rFont val="Calibri"/>
        <color rgb="FF000000"/>
        <sz val="8.0"/>
      </rPr>
      <t>15</t>
    </r>
    <r>
      <rPr>
        <rFont val="Times New Roman"/>
        <color rgb="FF000000"/>
        <sz val="8.0"/>
      </rPr>
      <t xml:space="preserve"> </t>
    </r>
    <r>
      <rPr>
        <rFont val="Calibri"/>
        <color rgb="FF000000"/>
        <sz val="8.0"/>
      </rPr>
      <t xml:space="preserve">JULI,
</t>
    </r>
    <r>
      <rPr>
        <rFont val="Calibri"/>
        <color rgb="FF000000"/>
        <sz val="8.0"/>
      </rPr>
      <t>15</t>
    </r>
    <r>
      <rPr>
        <rFont val="Times New Roman"/>
        <color rgb="FF000000"/>
        <sz val="8.0"/>
      </rPr>
      <t xml:space="preserve"> </t>
    </r>
    <r>
      <rPr>
        <rFont val="Calibri"/>
        <color rgb="FF000000"/>
        <sz val="8.0"/>
      </rPr>
      <t>OKT,</t>
    </r>
    <r>
      <rPr>
        <rFont val="Times New Roman"/>
        <color rgb="FF000000"/>
        <sz val="8.0"/>
      </rPr>
      <t xml:space="preserve"> </t>
    </r>
    <r>
      <rPr>
        <rFont val="Calibri"/>
        <color rgb="FF000000"/>
        <sz val="8.0"/>
      </rPr>
      <t>15</t>
    </r>
    <r>
      <rPr>
        <rFont val="Times New Roman"/>
        <color rgb="FF000000"/>
        <sz val="8.0"/>
      </rPr>
      <t xml:space="preserve"> </t>
    </r>
    <r>
      <rPr>
        <rFont val="Calibri"/>
        <color rgb="FF000000"/>
        <sz val="8.0"/>
      </rPr>
      <t>JAN</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</si>
  <si>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3/POJK.02/2014</t>
    </r>
    <r>
      <rPr>
        <rFont val="Times New Roman"/>
        <color rgb="FF000000"/>
        <sz val="8.0"/>
      </rPr>
      <t xml:space="preserve"> </t>
    </r>
    <r>
      <rPr>
        <rFont val="Calibri"/>
        <color rgb="FF000000"/>
        <sz val="8.0"/>
      </rPr>
      <t>dan
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04/SEOJK.02/2014</t>
    </r>
  </si>
  <si>
    <t>POJK 3 - 2014.pdf SEOJK 4 - 2014.pdf</t>
  </si>
  <si>
    <r>
      <rPr>
        <rFont val="Calibri"/>
        <color rgb="FF000000"/>
        <sz val="8.0"/>
      </rPr>
      <t>CETAK</t>
    </r>
    <r>
      <rPr>
        <rFont val="Times New Roman"/>
        <color rgb="FF000000"/>
        <sz val="8.0"/>
      </rPr>
      <t xml:space="preserve"> </t>
    </r>
    <r>
      <rPr>
        <rFont val="Calibri"/>
        <color rgb="FF000000"/>
        <sz val="8.0"/>
      </rPr>
      <t>BIRU</t>
    </r>
    <r>
      <rPr>
        <rFont val="Times New Roman"/>
        <color rgb="FF000000"/>
        <sz val="8.0"/>
      </rPr>
      <t xml:space="preserve"> </t>
    </r>
    <r>
      <rPr>
        <rFont val="Calibri"/>
        <color rgb="FF000000"/>
        <sz val="8.0"/>
      </rPr>
      <t>SDM</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</si>
  <si>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(LINK)</t>
    </r>
  </si>
  <si>
    <r>
      <rPr>
        <rFont val="Calibri"/>
        <color rgb="FF000000"/>
        <sz val="8.0"/>
      </rPr>
      <t>10</t>
    </r>
    <r>
      <rPr>
        <rFont val="Times New Roman"/>
        <color rgb="FF000000"/>
        <sz val="8.0"/>
      </rPr>
      <t xml:space="preserve"> </t>
    </r>
    <r>
      <rPr>
        <rFont val="Calibri"/>
        <color rgb="FF000000"/>
        <sz val="8.0"/>
      </rPr>
      <t>APR,</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 xml:space="preserve">JULI,
</t>
    </r>
    <r>
      <rPr>
        <rFont val="Calibri"/>
        <color rgb="FF000000"/>
        <sz val="8.0"/>
      </rPr>
      <t>10</t>
    </r>
    <r>
      <rPr>
        <rFont val="Times New Roman"/>
        <color rgb="FF000000"/>
        <sz val="8.0"/>
      </rPr>
      <t xml:space="preserve"> </t>
    </r>
    <r>
      <rPr>
        <rFont val="Calibri"/>
        <color rgb="FF000000"/>
        <sz val="8.0"/>
      </rPr>
      <t>OKT,</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JAN</t>
    </r>
  </si>
  <si>
    <r>
      <rPr>
        <rFont val="Calibri"/>
        <color theme="1"/>
        <sz val="8.0"/>
      </rPr>
      <t>-</t>
    </r>
  </si>
  <si>
    <r>
      <rPr>
        <rFont val="Calibri"/>
        <color rgb="FF000000"/>
        <sz val="8.0"/>
      </rPr>
      <t>PENGUMUMAN</t>
    </r>
    <r>
      <rPr>
        <rFont val="Times New Roman"/>
        <color rgb="FF000000"/>
        <sz val="8.0"/>
      </rPr>
      <t xml:space="preserve"> </t>
    </r>
    <r>
      <rPr>
        <rFont val="Calibri"/>
        <color rgb="FF000000"/>
        <sz val="8.0"/>
      </rPr>
      <t>LAPORAN</t>
    </r>
    <r>
      <rPr>
        <rFont val="Times New Roman"/>
        <color rgb="FF000000"/>
        <sz val="8.0"/>
      </rPr>
      <t xml:space="preserve"> </t>
    </r>
    <r>
      <rPr>
        <rFont val="Calibri"/>
        <color rgb="FF000000"/>
        <sz val="8.0"/>
      </rPr>
      <t>KEUANGAN</t>
    </r>
    <r>
      <rPr>
        <rFont val="Times New Roman"/>
        <color rgb="FF000000"/>
        <sz val="8.0"/>
      </rPr>
      <t xml:space="preserve"> </t>
    </r>
    <r>
      <rPr>
        <rFont val="Calibri"/>
        <color rgb="FF000000"/>
        <sz val="8.0"/>
      </rPr>
      <t>PUBLIKASI</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</si>
  <si>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(HARDCOP)</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MEDIA</t>
    </r>
    <r>
      <rPr>
        <rFont val="Times New Roman"/>
        <color rgb="FF000000"/>
        <sz val="8.0"/>
      </rPr>
      <t xml:space="preserve"> </t>
    </r>
    <r>
      <rPr>
        <rFont val="Calibri"/>
        <color rgb="FF000000"/>
        <sz val="8.0"/>
      </rPr>
      <t>PENGUMUMAN</t>
    </r>
    <r>
      <rPr>
        <rFont val="Times New Roman"/>
        <color rgb="FF000000"/>
        <sz val="8.0"/>
      </rPr>
      <t xml:space="preserve"> </t>
    </r>
    <r>
      <rPr>
        <rFont val="Calibri"/>
        <color rgb="FF000000"/>
        <sz val="8.0"/>
      </rPr>
      <t>DI</t>
    </r>
    <r>
      <rPr>
        <rFont val="Times New Roman"/>
        <color rgb="FF000000"/>
        <sz val="8.0"/>
      </rPr>
      <t xml:space="preserve"> </t>
    </r>
    <r>
      <rPr>
        <rFont val="Calibri"/>
        <color rgb="FF000000"/>
        <sz val="8.0"/>
      </rPr>
      <t>KANTOR</t>
    </r>
  </si>
  <si>
    <r>
      <rPr>
        <rFont val="Calibri"/>
        <color rgb="FF000000"/>
        <sz val="8.0"/>
      </rPr>
      <t>30</t>
    </r>
    <r>
      <rPr>
        <rFont val="Times New Roman"/>
        <color rgb="FF000000"/>
        <sz val="8.0"/>
      </rPr>
      <t xml:space="preserve"> </t>
    </r>
    <r>
      <rPr>
        <rFont val="Calibri"/>
        <color rgb="FF000000"/>
        <sz val="8.0"/>
      </rPr>
      <t>APR,</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 xml:space="preserve">JULI,
</t>
    </r>
    <r>
      <rPr>
        <rFont val="Calibri"/>
        <color rgb="FF000000"/>
        <sz val="8.0"/>
      </rPr>
      <t>31</t>
    </r>
    <r>
      <rPr>
        <rFont val="Times New Roman"/>
        <color rgb="FF000000"/>
        <sz val="8.0"/>
      </rPr>
      <t xml:space="preserve"> </t>
    </r>
    <r>
      <rPr>
        <rFont val="Calibri"/>
        <color rgb="FF000000"/>
        <sz val="8.0"/>
      </rPr>
      <t>OKT,</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t>
    </r>
  </si>
  <si>
    <r>
      <rPr>
        <rFont val="Calibri"/>
        <color rgb="FF000000"/>
        <sz val="8.0"/>
      </rPr>
      <t>POJK</t>
    </r>
    <r>
      <rPr>
        <rFont val="Times New Roman"/>
        <color rgb="FF000000"/>
        <sz val="8.0"/>
      </rPr>
      <t xml:space="preserve"> </t>
    </r>
    <r>
      <rPr>
        <rFont val="Calibri"/>
        <color rgb="FF000000"/>
        <sz val="8.0"/>
      </rPr>
      <t>No.48/2017</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No.39/2017</t>
    </r>
  </si>
  <si>
    <t>POJK 48 - 2017.pdf SEOJK 39 - 2017.pdf</t>
  </si>
  <si>
    <r>
      <rPr>
        <rFont val="Calibri"/>
        <b/>
        <color theme="1"/>
        <sz val="8.0"/>
      </rPr>
      <t>SEMESTERAN</t>
    </r>
  </si>
  <si>
    <r>
      <rPr>
        <rFont val="Calibri"/>
        <color rgb="FF000000"/>
        <sz val="8.0"/>
      </rPr>
      <t>LAPORAN</t>
    </r>
    <r>
      <rPr>
        <rFont val="Times New Roman"/>
        <color rgb="FF000000"/>
        <sz val="8.0"/>
      </rPr>
      <t xml:space="preserve"> </t>
    </r>
    <r>
      <rPr>
        <rFont val="Calibri"/>
        <color rgb="FF000000"/>
        <sz val="8.0"/>
      </rPr>
      <t>TKS</t>
    </r>
    <r>
      <rPr>
        <rFont val="Times New Roman"/>
        <color rgb="FF000000"/>
        <sz val="8.0"/>
      </rPr>
      <t xml:space="preserve"> </t>
    </r>
    <r>
      <rPr>
        <rFont val="Calibri"/>
        <color rgb="FF000000"/>
        <sz val="8.0"/>
      </rPr>
      <t>TERMASUK</t>
    </r>
    <r>
      <rPr>
        <rFont val="Times New Roman"/>
        <color rgb="FF000000"/>
        <sz val="8.0"/>
      </rPr>
      <t xml:space="preserve"> </t>
    </r>
    <r>
      <rPr>
        <rFont val="Calibri"/>
        <color rgb="FF000000"/>
        <sz val="8.0"/>
      </rPr>
      <t xml:space="preserve">:
</t>
    </r>
    <r>
      <rPr>
        <rFont val="Calibri"/>
        <color rgb="FF000000"/>
        <sz val="8.0"/>
      </rPr>
      <t>-</t>
    </r>
    <r>
      <rPr>
        <rFont val="Times New Roman"/>
        <color rgb="FF000000"/>
        <sz val="8.0"/>
      </rPr>
      <t xml:space="preserve"> </t>
    </r>
    <r>
      <rPr>
        <rFont val="Calibri"/>
        <color rgb="FF000000"/>
        <sz val="8.0"/>
      </rPr>
      <t>HASIL</t>
    </r>
    <r>
      <rPr>
        <rFont val="Times New Roman"/>
        <color rgb="FF000000"/>
        <sz val="8.0"/>
      </rPr>
      <t xml:space="preserve"> </t>
    </r>
    <r>
      <rPr>
        <rFont val="Calibri"/>
        <color rgb="FF000000"/>
        <sz val="8.0"/>
      </rPr>
      <t>PENILAIAN</t>
    </r>
    <r>
      <rPr>
        <rFont val="Times New Roman"/>
        <color rgb="FF000000"/>
        <sz val="8.0"/>
      </rPr>
      <t xml:space="preserve"> </t>
    </r>
    <r>
      <rPr>
        <rFont val="Calibri"/>
        <color rgb="FF000000"/>
        <sz val="8.0"/>
      </rPr>
      <t>SENDIRI</t>
    </r>
    <r>
      <rPr>
        <rFont val="Times New Roman"/>
        <color rgb="FF000000"/>
        <sz val="8.0"/>
      </rPr>
      <t xml:space="preserve"> </t>
    </r>
    <r>
      <rPr>
        <rFont val="Calibri"/>
        <color rgb="FF000000"/>
        <sz val="8.0"/>
      </rPr>
      <t>PROFIL</t>
    </r>
    <r>
      <rPr>
        <rFont val="Times New Roman"/>
        <color rgb="FF000000"/>
        <sz val="8.0"/>
      </rPr>
      <t xml:space="preserve"> </t>
    </r>
    <r>
      <rPr>
        <rFont val="Calibri"/>
        <color rgb="FF000000"/>
        <sz val="8.0"/>
      </rPr>
      <t xml:space="preserve">RISIKO
</t>
    </r>
    <r>
      <rPr>
        <rFont val="Calibri"/>
        <color rgb="FF000000"/>
        <sz val="8.0"/>
      </rPr>
      <t>-</t>
    </r>
    <r>
      <rPr>
        <rFont val="Times New Roman"/>
        <color rgb="FF000000"/>
        <sz val="8.0"/>
      </rPr>
      <t xml:space="preserve"> </t>
    </r>
    <r>
      <rPr>
        <rFont val="Calibri"/>
        <color rgb="FF000000"/>
        <sz val="8.0"/>
      </rPr>
      <t>LAPORAN</t>
    </r>
    <r>
      <rPr>
        <rFont val="Times New Roman"/>
        <color rgb="FF000000"/>
        <sz val="8.0"/>
      </rPr>
      <t xml:space="preserve"> </t>
    </r>
    <r>
      <rPr>
        <rFont val="Calibri"/>
        <color rgb="FF000000"/>
        <sz val="8.0"/>
      </rPr>
      <t>PELAKSANAAN</t>
    </r>
    <r>
      <rPr>
        <rFont val="Times New Roman"/>
        <color rgb="FF000000"/>
        <sz val="8.0"/>
      </rPr>
      <t xml:space="preserve"> </t>
    </r>
    <r>
      <rPr>
        <rFont val="Calibri"/>
        <color rgb="FF000000"/>
        <sz val="8.0"/>
      </rPr>
      <t>TATA</t>
    </r>
    <r>
      <rPr>
        <rFont val="Times New Roman"/>
        <color rgb="FF000000"/>
        <sz val="8.0"/>
      </rPr>
      <t xml:space="preserve"> </t>
    </r>
    <r>
      <rPr>
        <rFont val="Calibri"/>
        <color rgb="FF000000"/>
        <sz val="8.0"/>
      </rPr>
      <t xml:space="preserve">KELOLA
</t>
    </r>
    <r>
      <rPr>
        <rFont val="Calibri"/>
        <color rgb="FF000000"/>
        <sz val="8.0"/>
      </rPr>
      <t>-</t>
    </r>
    <r>
      <rPr>
        <rFont val="Times New Roman"/>
        <color rgb="FF000000"/>
        <sz val="8.0"/>
      </rPr>
      <t xml:space="preserve"> </t>
    </r>
    <r>
      <rPr>
        <rFont val="Calibri"/>
        <color rgb="FF000000"/>
        <sz val="8.0"/>
      </rPr>
      <t>PENILAIAN</t>
    </r>
    <r>
      <rPr>
        <rFont val="Times New Roman"/>
        <color rgb="FF000000"/>
        <sz val="8.0"/>
      </rPr>
      <t xml:space="preserve"> </t>
    </r>
    <r>
      <rPr>
        <rFont val="Calibri"/>
        <color rgb="FF000000"/>
        <sz val="8.0"/>
      </rPr>
      <t>SENDIRI</t>
    </r>
    <r>
      <rPr>
        <rFont val="Times New Roman"/>
        <color rgb="FF000000"/>
        <sz val="8.0"/>
      </rPr>
      <t xml:space="preserve"> </t>
    </r>
    <r>
      <rPr>
        <rFont val="Calibri"/>
        <color rgb="FF000000"/>
        <sz val="8.0"/>
      </rPr>
      <t>(SELF</t>
    </r>
    <r>
      <rPr>
        <rFont val="Times New Roman"/>
        <color rgb="FF000000"/>
        <sz val="8.0"/>
      </rPr>
      <t xml:space="preserve"> </t>
    </r>
    <r>
      <rPr>
        <rFont val="Calibri"/>
        <color rgb="FF000000"/>
        <sz val="8.0"/>
      </rPr>
      <t>ASSESSMENT)</t>
    </r>
    <r>
      <rPr>
        <rFont val="Times New Roman"/>
        <color rgb="FF000000"/>
        <sz val="8.0"/>
      </rPr>
      <t xml:space="preserve"> </t>
    </r>
    <r>
      <rPr>
        <rFont val="Calibri"/>
        <color rgb="FF000000"/>
        <sz val="8.0"/>
      </rPr>
      <t>TATA</t>
    </r>
    <r>
      <rPr>
        <rFont val="Times New Roman"/>
        <color rgb="FF000000"/>
        <sz val="8.0"/>
      </rPr>
      <t xml:space="preserve"> </t>
    </r>
    <r>
      <rPr>
        <rFont val="Calibri"/>
        <color rgb="FF000000"/>
        <sz val="8.0"/>
      </rPr>
      <t xml:space="preserve">KELOLA
</t>
    </r>
    <r>
      <rPr>
        <rFont val="Calibri"/>
        <color rgb="FF000000"/>
        <sz val="8.0"/>
      </rPr>
      <t>-</t>
    </r>
    <r>
      <rPr>
        <rFont val="Times New Roman"/>
        <color rgb="FF000000"/>
        <sz val="8.0"/>
      </rPr>
      <t xml:space="preserve"> </t>
    </r>
    <r>
      <rPr>
        <rFont val="Calibri"/>
        <color rgb="FF000000"/>
        <sz val="8.0"/>
      </rPr>
      <t>LAPORAN</t>
    </r>
    <r>
      <rPr>
        <rFont val="Times New Roman"/>
        <color rgb="FF000000"/>
        <sz val="8.0"/>
      </rPr>
      <t xml:space="preserve"> </t>
    </r>
    <r>
      <rPr>
        <rFont val="Calibri"/>
        <color rgb="FF000000"/>
        <sz val="8.0"/>
      </rPr>
      <t>POKOK-POKOK</t>
    </r>
    <r>
      <rPr>
        <rFont val="Times New Roman"/>
        <color rgb="FF000000"/>
        <sz val="8.0"/>
      </rPr>
      <t xml:space="preserve"> </t>
    </r>
    <r>
      <rPr>
        <rFont val="Calibri"/>
        <color rgb="FF000000"/>
        <sz val="8.0"/>
      </rPr>
      <t>HASIL</t>
    </r>
    <r>
      <rPr>
        <rFont val="Times New Roman"/>
        <color rgb="FF000000"/>
        <sz val="8.0"/>
      </rPr>
      <t xml:space="preserve"> </t>
    </r>
    <r>
      <rPr>
        <rFont val="Calibri"/>
        <color rgb="FF000000"/>
        <sz val="8.0"/>
      </rPr>
      <t>FUNGSI</t>
    </r>
    <r>
      <rPr>
        <rFont val="Times New Roman"/>
        <color rgb="FF000000"/>
        <sz val="8.0"/>
      </rPr>
      <t xml:space="preserve"> </t>
    </r>
    <r>
      <rPr>
        <rFont val="Calibri"/>
        <color rgb="FF000000"/>
        <sz val="8.0"/>
      </rPr>
      <t>AUDIT</t>
    </r>
    <r>
      <rPr>
        <rFont val="Times New Roman"/>
        <color rgb="FF000000"/>
        <sz val="8.0"/>
      </rPr>
      <t xml:space="preserve"> </t>
    </r>
    <r>
      <rPr>
        <rFont val="Calibri"/>
        <color rgb="FF000000"/>
        <sz val="8.0"/>
      </rPr>
      <t xml:space="preserve">INTERN;DAN
</t>
    </r>
    <r>
      <rPr>
        <rFont val="Calibri"/>
        <color rgb="FF000000"/>
        <sz val="8.0"/>
      </rPr>
      <t>-</t>
    </r>
    <r>
      <rPr>
        <rFont val="Times New Roman"/>
        <color rgb="FF000000"/>
        <sz val="8.0"/>
      </rPr>
      <t xml:space="preserve"> </t>
    </r>
    <r>
      <rPr>
        <rFont val="Calibri"/>
        <color rgb="FF000000"/>
        <sz val="8.0"/>
      </rPr>
      <t>LAPORAN</t>
    </r>
    <r>
      <rPr>
        <rFont val="Times New Roman"/>
        <color rgb="FF000000"/>
        <sz val="8.0"/>
      </rPr>
      <t xml:space="preserve"> </t>
    </r>
    <r>
      <rPr>
        <rFont val="Calibri"/>
        <color rgb="FF000000"/>
        <sz val="8.0"/>
      </rPr>
      <t>KEPATUHAN</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</si>
  <si>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</si>
  <si>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31</t>
    </r>
    <r>
      <rPr>
        <rFont val="Times New Roman"/>
        <color rgb="FF000000"/>
        <sz val="8.0"/>
      </rPr>
      <t xml:space="preserve"> </t>
    </r>
    <r>
      <rPr>
        <rFont val="Calibri"/>
        <color rgb="FF000000"/>
        <sz val="8.0"/>
      </rPr>
      <t>JULI</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JANUARI</t>
    </r>
  </si>
  <si>
    <r>
      <rPr>
        <rFont val="Calibri"/>
        <color rgb="FF000000"/>
        <sz val="8.0"/>
      </rPr>
      <t>-</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13/POJK.03/2015</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No.01/SEOJK.03/2019,
-</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3/POJK.03/2022,
-</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04/POJK.03/2015</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07/SEOJK.03/2016
-POJK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4/POJK.03/2015</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06/SEOJK/.03/2016
-</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</si>
  <si>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t>POJK 13 - 2015.pdf SEOJK 1 - 2019.pdf
POJK 03-2022.pdf
POJK 4 - 2015.pdf SEOJK  7 - 2016.pdf
SEOJK 6 - 2016.pdf
POJK 23 - 2024.pdf</t>
  </si>
  <si>
    <r>
      <rPr>
        <rFont val="Calibri"/>
        <color rgb="FF000000"/>
        <sz val="8.0"/>
      </rPr>
      <t>LAPORAN</t>
    </r>
    <r>
      <rPr>
        <rFont val="Times New Roman"/>
        <color rgb="FF000000"/>
        <sz val="8.0"/>
      </rPr>
      <t xml:space="preserve"> </t>
    </r>
    <r>
      <rPr>
        <rFont val="Calibri"/>
        <color rgb="FF000000"/>
        <sz val="8.0"/>
      </rPr>
      <t>PELAKSANAAN</t>
    </r>
    <r>
      <rPr>
        <rFont val="Times New Roman"/>
        <color rgb="FF000000"/>
        <sz val="8.0"/>
      </rPr>
      <t xml:space="preserve"> </t>
    </r>
    <r>
      <rPr>
        <rFont val="Calibri"/>
        <color rgb="FF000000"/>
        <sz val="8.0"/>
      </rPr>
      <t>LITERASI</t>
    </r>
    <r>
      <rPr>
        <rFont val="Times New Roman"/>
        <color rgb="FF000000"/>
        <sz val="8.0"/>
      </rPr>
      <t xml:space="preserve"> </t>
    </r>
    <r>
      <rPr>
        <rFont val="Calibri"/>
        <color rgb="FF000000"/>
        <sz val="8.0"/>
      </rPr>
      <t xml:space="preserve">DAN
</t>
    </r>
    <r>
      <rPr>
        <rFont val="Calibri"/>
        <color rgb="FF000000"/>
        <sz val="8.0"/>
      </rPr>
      <t>INKLUSI</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</si>
  <si>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(SIPEDULI)</t>
    </r>
  </si>
  <si>
    <r>
      <rPr>
        <rFont val="Calibri"/>
        <color rgb="FF000000"/>
        <sz val="8.0"/>
      </rPr>
      <t>31</t>
    </r>
    <r>
      <rPr>
        <rFont val="Times New Roman"/>
        <color rgb="FF000000"/>
        <sz val="8.0"/>
      </rPr>
      <t xml:space="preserve"> </t>
    </r>
    <r>
      <rPr>
        <rFont val="Calibri"/>
        <color rgb="FF000000"/>
        <sz val="8.0"/>
      </rPr>
      <t>JULI</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JANUARI</t>
    </r>
  </si>
  <si>
    <r>
      <rPr>
        <rFont val="Calibri"/>
        <color rgb="FF000000"/>
        <sz val="8.0"/>
      </rPr>
      <t>POJK</t>
    </r>
    <r>
      <rPr>
        <rFont val="Times New Roman"/>
        <color rgb="FF000000"/>
        <sz val="8.0"/>
      </rPr>
      <t xml:space="preserve"> </t>
    </r>
    <r>
      <rPr>
        <rFont val="Calibri"/>
        <color rgb="FF000000"/>
        <sz val="8.0"/>
      </rPr>
      <t>No.76/POJK.07/2016</t>
    </r>
    <r>
      <rPr>
        <rFont val="Times New Roman"/>
        <color rgb="FF000000"/>
        <sz val="8.0"/>
      </rPr>
      <t xml:space="preserve"> </t>
    </r>
    <r>
      <rPr>
        <rFont val="Calibri"/>
        <color rgb="FF000000"/>
        <sz val="8.0"/>
      </rPr>
      <t>dan
SEOJK</t>
    </r>
    <r>
      <rPr>
        <rFont val="Times New Roman"/>
        <color rgb="FF000000"/>
        <sz val="8.0"/>
      </rPr>
      <t xml:space="preserve"> </t>
    </r>
    <r>
      <rPr>
        <rFont val="Calibri"/>
        <color rgb="FF000000"/>
        <sz val="8.0"/>
      </rPr>
      <t>No.31/SEOJK.07/2017,</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2023,</t>
    </r>
    <r>
      <rPr>
        <rFont val="Times New Roman"/>
        <color rgb="FF000000"/>
        <sz val="8.0"/>
      </rPr>
      <t xml:space="preserve"> </t>
    </r>
    <r>
      <rPr>
        <rFont val="Calibri"/>
        <color rgb="FF000000"/>
        <sz val="8.0"/>
      </rPr>
      <t>POJK</t>
    </r>
  </si>
  <si>
    <t>POJK 76 - 2016.pdf SEOJK 31 - 2017.pdf POJK  3 - 2023.pdf</t>
  </si>
  <si>
    <r>
      <rPr>
        <rFont val="Calibri"/>
        <color rgb="FF000000"/>
        <sz val="8.0"/>
      </rPr>
      <t>LAPORAN</t>
    </r>
    <r>
      <rPr>
        <rFont val="Times New Roman"/>
        <color rgb="FF000000"/>
        <sz val="8.0"/>
      </rPr>
      <t xml:space="preserve"> </t>
    </r>
    <r>
      <rPr>
        <rFont val="Calibri"/>
        <color rgb="FF000000"/>
        <sz val="8.0"/>
      </rPr>
      <t>LAYANAN</t>
    </r>
    <r>
      <rPr>
        <rFont val="Times New Roman"/>
        <color rgb="FF000000"/>
        <sz val="8.0"/>
      </rPr>
      <t xml:space="preserve"> </t>
    </r>
    <r>
      <rPr>
        <rFont val="Calibri"/>
        <color rgb="FF000000"/>
        <sz val="8.0"/>
      </rPr>
      <t>PENGADUAN</t>
    </r>
    <r>
      <rPr>
        <rFont val="Times New Roman"/>
        <color rgb="FF000000"/>
        <sz val="8.0"/>
      </rPr>
      <t xml:space="preserve"> </t>
    </r>
    <r>
      <rPr>
        <rFont val="Calibri"/>
        <color rgb="FF000000"/>
        <sz val="8.0"/>
      </rPr>
      <t>NASABAH</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</si>
  <si>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(SIPEDULI)</t>
    </r>
  </si>
  <si>
    <r>
      <rPr>
        <rFont val="Calibri"/>
        <color rgb="FF000000"/>
        <sz val="8.0"/>
      </rPr>
      <t>10</t>
    </r>
    <r>
      <rPr>
        <rFont val="Times New Roman"/>
        <color rgb="FF000000"/>
        <sz val="8.0"/>
      </rPr>
      <t xml:space="preserve"> </t>
    </r>
    <r>
      <rPr>
        <rFont val="Calibri"/>
        <color rgb="FF000000"/>
        <sz val="8.0"/>
      </rPr>
      <t>JULI</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JAN</t>
    </r>
  </si>
  <si>
    <r>
      <rPr>
        <rFont val="Calibri"/>
        <color rgb="FF000000"/>
        <sz val="8.0"/>
      </rPr>
      <t>POJK</t>
    </r>
    <r>
      <rPr>
        <rFont val="Times New Roman"/>
        <color rgb="FF000000"/>
        <sz val="8.0"/>
      </rPr>
      <t xml:space="preserve"> </t>
    </r>
    <r>
      <rPr>
        <rFont val="Calibri"/>
        <color rgb="FF000000"/>
        <sz val="8.0"/>
      </rPr>
      <t>22</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2023</t>
    </r>
  </si>
  <si>
    <t>POJK 22 - 2023.pdf</t>
  </si>
  <si>
    <r>
      <rPr>
        <rFont val="Calibri"/>
        <color rgb="FF000000"/>
        <sz val="8.0"/>
      </rPr>
      <t>LAPORAN</t>
    </r>
    <r>
      <rPr>
        <rFont val="Times New Roman"/>
        <color rgb="FF000000"/>
        <sz val="8.0"/>
      </rPr>
      <t xml:space="preserve"> </t>
    </r>
    <r>
      <rPr>
        <rFont val="Calibri"/>
        <color rgb="FF000000"/>
        <sz val="8.0"/>
      </rPr>
      <t>PELAKSANAAN</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PENGAWASAN</t>
    </r>
    <r>
      <rPr>
        <rFont val="Times New Roman"/>
        <color rgb="FF000000"/>
        <sz val="8.0"/>
      </rPr>
      <t xml:space="preserve"> </t>
    </r>
    <r>
      <rPr>
        <rFont val="Calibri"/>
        <color rgb="FF000000"/>
        <sz val="8.0"/>
      </rPr>
      <t>RBB</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</si>
  <si>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</si>
  <si>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31</t>
    </r>
    <r>
      <rPr>
        <rFont val="Times New Roman"/>
        <color rgb="FF000000"/>
        <sz val="8.0"/>
      </rPr>
      <t xml:space="preserve"> </t>
    </r>
    <r>
      <rPr>
        <rFont val="Calibri"/>
        <color rgb="FF000000"/>
        <sz val="8.0"/>
      </rPr>
      <t>JULI</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JANUARI</t>
    </r>
  </si>
  <si>
    <r>
      <rPr>
        <rFont val="Calibri"/>
        <color rgb="FF000000"/>
        <sz val="8.0"/>
      </rPr>
      <t>POJK</t>
    </r>
    <r>
      <rPr>
        <rFont val="Times New Roman"/>
        <color rgb="FF000000"/>
        <sz val="8.0"/>
      </rPr>
      <t xml:space="preserve"> </t>
    </r>
    <r>
      <rPr>
        <rFont val="Calibri"/>
        <color rgb="FF000000"/>
        <sz val="8.0"/>
      </rPr>
      <t>No.37/POJK.03/2016</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No.52/SEOJK.03/2016</t>
    </r>
  </si>
  <si>
    <t>POJK 37 - 2016.pdf SEOJK 52 - 2016.pdf</t>
  </si>
  <si>
    <r>
      <rPr>
        <rFont val="Calibri"/>
        <color rgb="FF000000"/>
        <sz val="8.0"/>
      </rPr>
      <t>PEMBAYARAN</t>
    </r>
    <r>
      <rPr>
        <rFont val="Times New Roman"/>
        <color rgb="FF000000"/>
        <sz val="8.0"/>
      </rPr>
      <t xml:space="preserve"> </t>
    </r>
    <r>
      <rPr>
        <rFont val="Calibri"/>
        <color rgb="FF000000"/>
        <sz val="8.0"/>
      </rPr>
      <t>PREMI</t>
    </r>
    <r>
      <rPr>
        <rFont val="Times New Roman"/>
        <color rgb="FF000000"/>
        <sz val="8.0"/>
      </rPr>
      <t xml:space="preserve"> </t>
    </r>
    <r>
      <rPr>
        <rFont val="Calibri"/>
        <color rgb="FF000000"/>
        <sz val="8.0"/>
      </rPr>
      <t>LPS</t>
    </r>
  </si>
  <si>
    <r>
      <rPr>
        <rFont val="Calibri"/>
        <color rgb="FF000000"/>
        <sz val="8.0"/>
      </rPr>
      <t>LPS</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(BRI)</t>
    </r>
  </si>
  <si>
    <r>
      <rPr>
        <rFont val="Calibri"/>
        <color rgb="FF000000"/>
        <sz val="8.0"/>
      </rPr>
      <t>31</t>
    </r>
    <r>
      <rPr>
        <rFont val="Times New Roman"/>
        <color rgb="FF000000"/>
        <sz val="8.0"/>
      </rPr>
      <t xml:space="preserve"> </t>
    </r>
    <r>
      <rPr>
        <rFont val="Calibri"/>
        <color rgb="FF000000"/>
        <sz val="8.0"/>
      </rPr>
      <t>JULI</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JANUARI</t>
    </r>
  </si>
  <si>
    <r>
      <rPr>
        <rFont val="Calibri"/>
        <color rgb="FF000000"/>
        <sz val="8.0"/>
      </rPr>
      <t>PLPS</t>
    </r>
    <r>
      <rPr>
        <rFont val="Times New Roman"/>
        <color rgb="FF000000"/>
        <sz val="8.0"/>
      </rPr>
      <t xml:space="preserve"> </t>
    </r>
    <r>
      <rPr>
        <rFont val="Calibri"/>
        <color rgb="FF000000"/>
        <sz val="8.0"/>
      </rPr>
      <t>I/2008</t>
    </r>
    <r>
      <rPr>
        <rFont val="Times New Roman"/>
        <color rgb="FF000000"/>
        <sz val="8.0"/>
      </rPr>
      <t xml:space="preserve"> </t>
    </r>
    <r>
      <rPr>
        <rFont val="Calibri"/>
        <color rgb="FF000000"/>
        <sz val="8.0"/>
      </rPr>
      <t>peraturan</t>
    </r>
    <r>
      <rPr>
        <rFont val="Times New Roman"/>
        <color rgb="FF000000"/>
        <sz val="8.0"/>
      </rPr>
      <t xml:space="preserve"> </t>
    </r>
    <r>
      <rPr>
        <rFont val="Calibri"/>
        <color rgb="FF000000"/>
        <sz val="8.0"/>
      </rPr>
      <t>terbaru</t>
    </r>
    <r>
      <rPr>
        <rFont val="Times New Roman"/>
        <color rgb="FF000000"/>
        <sz val="8.0"/>
      </rPr>
      <t xml:space="preserve"> </t>
    </r>
    <r>
      <rPr>
        <rFont val="Calibri"/>
        <color rgb="FF000000"/>
        <sz val="8.0"/>
      </rPr>
      <t>PLPS</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2/2018,</t>
    </r>
    <r>
      <rPr>
        <rFont val="Times New Roman"/>
        <color rgb="FF000000"/>
        <sz val="8.0"/>
      </rPr>
      <t xml:space="preserve"> </t>
    </r>
    <r>
      <rPr>
        <rFont val="Calibri"/>
        <color rgb="FF000000"/>
        <sz val="8.0"/>
      </rPr>
      <t>PLPS</t>
    </r>
    <r>
      <rPr>
        <rFont val="Times New Roman"/>
        <color rgb="FF000000"/>
        <sz val="8.0"/>
      </rPr>
      <t xml:space="preserve"> </t>
    </r>
    <r>
      <rPr>
        <rFont val="Calibri"/>
        <color rgb="FF000000"/>
        <sz val="8.0"/>
      </rPr>
      <t>No
7</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2019</t>
    </r>
  </si>
  <si>
    <t>PBPJS-5-2018.pdf PBPJS-5-2019.pdf</t>
  </si>
  <si>
    <r>
      <rPr>
        <rFont val="Calibri"/>
        <color rgb="FF000000"/>
        <sz val="8.0"/>
      </rPr>
      <t>LAPORAN</t>
    </r>
    <r>
      <rPr>
        <rFont val="Times New Roman"/>
        <color rgb="FF000000"/>
        <sz val="8.0"/>
      </rPr>
      <t xml:space="preserve"> </t>
    </r>
    <r>
      <rPr>
        <rFont val="Calibri"/>
        <color rgb="FF000000"/>
        <sz val="8.0"/>
      </rPr>
      <t>REALISASI</t>
    </r>
    <r>
      <rPr>
        <rFont val="Times New Roman"/>
        <color rgb="FF000000"/>
        <sz val="8.0"/>
      </rPr>
      <t xml:space="preserve"> </t>
    </r>
    <r>
      <rPr>
        <rFont val="Calibri"/>
        <color rgb="FF000000"/>
        <sz val="8.0"/>
      </rPr>
      <t>PENERAPAN</t>
    </r>
    <r>
      <rPr>
        <rFont val="Times New Roman"/>
        <color rgb="FF000000"/>
        <sz val="8.0"/>
      </rPr>
      <t xml:space="preserve"> </t>
    </r>
    <r>
      <rPr>
        <rFont val="Calibri"/>
        <color rgb="FF000000"/>
        <sz val="8.0"/>
      </rPr>
      <t>MANAJEMEN</t>
    </r>
    <r>
      <rPr>
        <rFont val="Times New Roman"/>
        <color rgb="FF000000"/>
        <sz val="8.0"/>
      </rPr>
      <t xml:space="preserve"> </t>
    </r>
    <r>
      <rPr>
        <rFont val="Calibri"/>
        <color rgb="FF000000"/>
        <sz val="8.0"/>
      </rPr>
      <t>RISIKO</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</si>
  <si>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</si>
  <si>
    <r>
      <rPr>
        <rFont val="Calibri"/>
        <color rgb="FF000000"/>
        <sz val="8.0"/>
      </rPr>
      <t>31</t>
    </r>
    <r>
      <rPr>
        <rFont val="Times New Roman"/>
        <color rgb="FF000000"/>
        <sz val="8.0"/>
      </rPr>
      <t xml:space="preserve"> </t>
    </r>
    <r>
      <rPr>
        <rFont val="Calibri"/>
        <color rgb="FF000000"/>
        <sz val="8.0"/>
      </rPr>
      <t>JULI</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JANUARI</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</si>
  <si>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13/POJK.03/2015</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No.01/SEOJK.03/2019</t>
    </r>
  </si>
  <si>
    <t>pojk 13-2019.pdf SEOJK 1 - 2019.pdf</t>
  </si>
  <si>
    <r>
      <rPr>
        <rFont val="Calibri"/>
        <color rgb="FF000000"/>
        <sz val="8.0"/>
      </rPr>
      <t>LAPORAN</t>
    </r>
    <r>
      <rPr>
        <rFont val="Times New Roman"/>
        <color rgb="FF000000"/>
        <sz val="8.0"/>
      </rPr>
      <t xml:space="preserve"> </t>
    </r>
    <r>
      <rPr>
        <rFont val="Calibri"/>
        <color rgb="FF000000"/>
        <sz val="8.0"/>
      </rPr>
      <t>REALISASI</t>
    </r>
    <r>
      <rPr>
        <rFont val="Times New Roman"/>
        <color rgb="FF000000"/>
        <sz val="8.0"/>
      </rPr>
      <t xml:space="preserve"> </t>
    </r>
    <r>
      <rPr>
        <rFont val="Calibri"/>
        <color rgb="FF000000"/>
        <sz val="8.0"/>
      </rPr>
      <t>PENGKINIAN</t>
    </r>
    <r>
      <rPr>
        <rFont val="Times New Roman"/>
        <color rgb="FF000000"/>
        <sz val="8.0"/>
      </rPr>
      <t xml:space="preserve"> </t>
    </r>
    <r>
      <rPr>
        <rFont val="Calibri"/>
        <color rgb="FF000000"/>
        <sz val="8.0"/>
      </rPr>
      <t xml:space="preserve">DATA
</t>
    </r>
    <r>
      <rPr>
        <rFont val="Calibri"/>
        <b/>
        <i/>
        <color rgb="FF000000"/>
        <sz val="8.0"/>
      </rPr>
      <t>(INCLUDE</t>
    </r>
    <r>
      <rPr>
        <rFont val="Times New Roman"/>
        <color rgb="FF000000"/>
        <sz val="8.0"/>
      </rPr>
      <t xml:space="preserve"> </t>
    </r>
    <r>
      <rPr>
        <rFont val="Calibri"/>
        <b/>
        <i/>
        <color rgb="FF000000"/>
        <sz val="8.0"/>
      </rPr>
      <t>LAPORAN</t>
    </r>
    <r>
      <rPr>
        <rFont val="Times New Roman"/>
        <color rgb="FF000000"/>
        <sz val="8.0"/>
      </rPr>
      <t xml:space="preserve"> </t>
    </r>
    <r>
      <rPr>
        <rFont val="Calibri"/>
        <b/>
        <i/>
        <color rgb="FF000000"/>
        <sz val="8.0"/>
      </rPr>
      <t>RRBB</t>
    </r>
    <r>
      <rPr>
        <rFont val="Times New Roman"/>
        <color rgb="FF000000"/>
        <sz val="8.0"/>
      </rPr>
      <t xml:space="preserve"> </t>
    </r>
    <r>
      <rPr>
        <rFont val="Calibri"/>
        <b/>
        <i/>
        <color rgb="FF000000"/>
        <sz val="8.0"/>
      </rPr>
      <t>NO.</t>
    </r>
    <r>
      <rPr>
        <rFont val="Times New Roman"/>
        <color rgb="FF000000"/>
        <sz val="8.0"/>
      </rPr>
      <t xml:space="preserve"> </t>
    </r>
    <r>
      <rPr>
        <rFont val="Calibri"/>
        <b/>
        <i/>
        <color rgb="FF000000"/>
        <sz val="8.0"/>
      </rPr>
      <t>5)</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</si>
  <si>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</si>
  <si>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31</t>
    </r>
    <r>
      <rPr>
        <rFont val="Times New Roman"/>
        <color rgb="FF000000"/>
        <sz val="8.0"/>
      </rPr>
      <t xml:space="preserve"> </t>
    </r>
    <r>
      <rPr>
        <rFont val="Calibri"/>
        <color rgb="FF000000"/>
        <sz val="8.0"/>
      </rPr>
      <t>JULI</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JANUARI</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</si>
  <si>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23/POJK.01/2019</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
29/SEOJK.03/2019,</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</si>
  <si>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t>POJK  23 - 2019.pdf SEOJK 29 - 2019.pdf POJK 23 - 2024.pdf</t>
  </si>
  <si>
    <r>
      <rPr>
        <rFont val="Calibri"/>
        <color rgb="FF000000"/>
        <sz val="8.0"/>
      </rPr>
      <t>LAPORAN</t>
    </r>
    <r>
      <rPr>
        <rFont val="Times New Roman"/>
        <color rgb="FF000000"/>
        <sz val="8.0"/>
      </rPr>
      <t xml:space="preserve"> </t>
    </r>
    <r>
      <rPr>
        <rFont val="Calibri"/>
        <color rgb="FF000000"/>
        <sz val="8.0"/>
      </rPr>
      <t>STRATEGI</t>
    </r>
    <r>
      <rPr>
        <rFont val="Times New Roman"/>
        <color rgb="FF000000"/>
        <sz val="8.0"/>
      </rPr>
      <t xml:space="preserve"> </t>
    </r>
    <r>
      <rPr>
        <rFont val="Calibri"/>
        <color rgb="FF000000"/>
        <sz val="8.0"/>
      </rPr>
      <t>ANTI</t>
    </r>
    <r>
      <rPr>
        <rFont val="Times New Roman"/>
        <color rgb="FF000000"/>
        <sz val="8.0"/>
      </rPr>
      <t xml:space="preserve"> </t>
    </r>
    <r>
      <rPr>
        <rFont val="Calibri"/>
        <color rgb="FF000000"/>
        <sz val="8.0"/>
      </rPr>
      <t>FRAUD</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</si>
  <si>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</si>
  <si>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31</t>
    </r>
    <r>
      <rPr>
        <rFont val="Times New Roman"/>
        <color rgb="FF000000"/>
        <sz val="8.0"/>
      </rPr>
      <t xml:space="preserve"> </t>
    </r>
    <r>
      <rPr>
        <rFont val="Calibri"/>
        <color rgb="FF000000"/>
        <sz val="8.0"/>
      </rPr>
      <t>JULI</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31</t>
    </r>
    <r>
      <rPr>
        <rFont val="Times New Roman"/>
        <color rgb="FF000000"/>
        <sz val="8.0"/>
      </rPr>
      <t xml:space="preserve"> </t>
    </r>
    <r>
      <rPr>
        <rFont val="Calibri"/>
        <color rgb="FF000000"/>
        <sz val="8.0"/>
      </rPr>
      <t>JANUARI</t>
    </r>
  </si>
  <si>
    <r>
      <rPr>
        <rFont val="Calibri"/>
        <color rgb="FF000000"/>
        <sz val="8.0"/>
      </rPr>
      <t>POJK</t>
    </r>
    <r>
      <rPr>
        <rFont val="Times New Roman"/>
        <color rgb="FF000000"/>
        <sz val="8.0"/>
      </rPr>
      <t xml:space="preserve"> </t>
    </r>
    <r>
      <rPr>
        <rFont val="Calibri"/>
        <color rgb="FF000000"/>
        <sz val="8.0"/>
      </rPr>
      <t>12</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</si>
  <si>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t>POJK 12 - 2024.pdf POJK 23 - 2024.pdf</t>
  </si>
  <si>
    <r>
      <rPr>
        <rFont val="Calibri"/>
        <b/>
        <color theme="1"/>
        <sz val="8.0"/>
      </rPr>
      <t>TAHUNAN</t>
    </r>
  </si>
  <si>
    <r>
      <rPr>
        <rFont val="Calibri"/>
        <color rgb="FF000000"/>
        <sz val="8.0"/>
      </rPr>
      <t>LAPORAN</t>
    </r>
    <r>
      <rPr>
        <rFont val="Times New Roman"/>
        <color rgb="FF000000"/>
        <sz val="8.0"/>
      </rPr>
      <t xml:space="preserve"> </t>
    </r>
    <r>
      <rPr>
        <rFont val="Calibri"/>
        <color rgb="FF000000"/>
        <sz val="8.0"/>
      </rPr>
      <t>RENCANA</t>
    </r>
    <r>
      <rPr>
        <rFont val="Times New Roman"/>
        <color rgb="FF000000"/>
        <sz val="8.0"/>
      </rPr>
      <t xml:space="preserve"> </t>
    </r>
    <r>
      <rPr>
        <rFont val="Calibri"/>
        <color rgb="FF000000"/>
        <sz val="8.0"/>
      </rPr>
      <t>TINDAK</t>
    </r>
    <r>
      <rPr>
        <rFont val="Times New Roman"/>
        <color rgb="FF000000"/>
        <sz val="8.0"/>
      </rPr>
      <t xml:space="preserve"> </t>
    </r>
    <r>
      <rPr>
        <rFont val="Calibri"/>
        <color rgb="FF000000"/>
        <sz val="8.0"/>
      </rPr>
      <t>PENERAPAN</t>
    </r>
    <r>
      <rPr>
        <rFont val="Times New Roman"/>
        <color rgb="FF000000"/>
        <sz val="8.0"/>
      </rPr>
      <t xml:space="preserve"> </t>
    </r>
    <r>
      <rPr>
        <rFont val="Calibri"/>
        <color rgb="FF000000"/>
        <sz val="8.0"/>
      </rPr>
      <t>MANAJEMEN</t>
    </r>
    <r>
      <rPr>
        <rFont val="Times New Roman"/>
        <color rgb="FF000000"/>
        <sz val="8.0"/>
      </rPr>
      <t xml:space="preserve"> </t>
    </r>
    <r>
      <rPr>
        <rFont val="Calibri"/>
        <color rgb="FF000000"/>
        <sz val="8.0"/>
      </rPr>
      <t>RISIKO</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</si>
  <si>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</si>
  <si>
    <r>
      <rPr>
        <rFont val="Calibri"/>
        <color rgb="FF000000"/>
        <sz val="8.0"/>
      </rPr>
      <t>30</t>
    </r>
    <r>
      <rPr>
        <rFont val="Times New Roman"/>
        <color rgb="FF000000"/>
        <sz val="8.0"/>
      </rPr>
      <t xml:space="preserve"> </t>
    </r>
    <r>
      <rPr>
        <rFont val="Calibri"/>
        <color rgb="FF000000"/>
        <sz val="8.0"/>
      </rPr>
      <t>JUNI</t>
    </r>
    <r>
      <rPr>
        <rFont val="Times New Roman"/>
        <color rgb="FF000000"/>
        <sz val="8.0"/>
      </rPr>
      <t xml:space="preserve"> </t>
    </r>
    <r>
      <rPr>
        <rFont val="Calibri"/>
        <color rgb="FF000000"/>
        <sz val="8.0"/>
      </rPr>
      <t>2016</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</si>
  <si>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13/POJK.03/2015</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No.01/SEOJK.03/2019</t>
    </r>
  </si>
  <si>
    <t>POJK 13 - 2015.pdf SEOJK 1 - 2019.pdf</t>
  </si>
  <si>
    <r>
      <rPr>
        <rFont val="Calibri"/>
        <color rgb="FF000000"/>
        <sz val="8.0"/>
      </rPr>
      <t>LAPORAN</t>
    </r>
    <r>
      <rPr>
        <rFont val="Times New Roman"/>
        <color rgb="FF000000"/>
        <sz val="8.0"/>
      </rPr>
      <t xml:space="preserve"> </t>
    </r>
    <r>
      <rPr>
        <rFont val="Calibri"/>
        <color rgb="FF000000"/>
        <sz val="8.0"/>
      </rPr>
      <t>PELAKSANAAN</t>
    </r>
    <r>
      <rPr>
        <rFont val="Times New Roman"/>
        <color rgb="FF000000"/>
        <sz val="8.0"/>
      </rPr>
      <t xml:space="preserve"> </t>
    </r>
    <r>
      <rPr>
        <rFont val="Calibri"/>
        <color rgb="FF000000"/>
        <sz val="8.0"/>
      </rPr>
      <t>AUDIT</t>
    </r>
    <r>
      <rPr>
        <rFont val="Times New Roman"/>
        <color rgb="FF000000"/>
        <sz val="8.0"/>
      </rPr>
      <t xml:space="preserve"> </t>
    </r>
    <r>
      <rPr>
        <rFont val="Calibri"/>
        <color rgb="FF000000"/>
        <sz val="8.0"/>
      </rPr>
      <t>TI</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</si>
  <si>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</si>
  <si>
    <r>
      <rPr>
        <rFont val="Calibri"/>
        <color rgb="FF000000"/>
        <sz val="8.0"/>
      </rPr>
      <t>31</t>
    </r>
    <r>
      <rPr>
        <rFont val="Times New Roman"/>
        <color rgb="FF000000"/>
        <sz val="8.0"/>
      </rPr>
      <t xml:space="preserve"> </t>
    </r>
    <r>
      <rPr>
        <rFont val="Calibri"/>
        <color rgb="FF000000"/>
        <sz val="8.0"/>
      </rPr>
      <t>JANUARI</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</si>
  <si>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75/POJK.03/2016</t>
    </r>
    <r>
      <rPr>
        <rFont val="Times New Roman"/>
        <color rgb="FF000000"/>
        <sz val="8.0"/>
      </rPr>
      <t xml:space="preserve"> </t>
    </r>
    <r>
      <rPr>
        <rFont val="Calibri"/>
        <color rgb="FF000000"/>
        <sz val="8.0"/>
      </rPr>
      <t xml:space="preserve">Pasal
</t>
    </r>
    <r>
      <rPr>
        <rFont val="Calibri"/>
        <color rgb="FF000000"/>
        <sz val="8.0"/>
      </rPr>
      <t>22</t>
    </r>
    <r>
      <rPr>
        <rFont val="Times New Roman"/>
        <color rgb="FF000000"/>
        <sz val="8.0"/>
      </rPr>
      <t xml:space="preserve"> </t>
    </r>
    <r>
      <rPr>
        <rFont val="Calibri"/>
        <color rgb="FF000000"/>
        <sz val="8.0"/>
      </rPr>
      <t>ayat</t>
    </r>
    <r>
      <rPr>
        <rFont val="Times New Roman"/>
        <color rgb="FF000000"/>
        <sz val="8.0"/>
      </rPr>
      <t xml:space="preserve"> </t>
    </r>
    <r>
      <rPr>
        <rFont val="Calibri"/>
        <color rgb="FF000000"/>
        <sz val="8.0"/>
      </rPr>
      <t>1</t>
    </r>
  </si>
  <si>
    <t>pojk 75-2016.pdf</t>
  </si>
  <si>
    <r>
      <rPr>
        <rFont val="Calibri"/>
        <color rgb="FF000000"/>
        <sz val="8.0"/>
      </rPr>
      <t>LAPORAN</t>
    </r>
    <r>
      <rPr>
        <rFont val="Times New Roman"/>
        <color rgb="FF000000"/>
        <sz val="8.0"/>
      </rPr>
      <t xml:space="preserve"> </t>
    </r>
    <r>
      <rPr>
        <rFont val="Calibri"/>
        <color rgb="FF000000"/>
        <sz val="8.0"/>
      </rPr>
      <t>RENCANA</t>
    </r>
    <r>
      <rPr>
        <rFont val="Times New Roman"/>
        <color rgb="FF000000"/>
        <sz val="8.0"/>
      </rPr>
      <t xml:space="preserve"> </t>
    </r>
    <r>
      <rPr>
        <rFont val="Calibri"/>
        <color rgb="FF000000"/>
        <sz val="8.0"/>
      </rPr>
      <t>BISNIS</t>
    </r>
    <r>
      <rPr>
        <rFont val="Times New Roman"/>
        <color rgb="FF000000"/>
        <sz val="8.0"/>
      </rPr>
      <t xml:space="preserve"> </t>
    </r>
    <r>
      <rPr>
        <rFont val="Calibri"/>
        <color rgb="FF000000"/>
        <sz val="8.0"/>
      </rPr>
      <t>BANK</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</si>
  <si>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</si>
  <si>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15</t>
    </r>
    <r>
      <rPr>
        <rFont val="Times New Roman"/>
        <color rgb="FF000000"/>
        <sz val="8.0"/>
      </rPr>
      <t xml:space="preserve"> </t>
    </r>
    <r>
      <rPr>
        <rFont val="Calibri"/>
        <color rgb="FF000000"/>
        <sz val="8.0"/>
      </rPr>
      <t>DESEMBER</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</si>
  <si>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37/POJK.03/2016</t>
    </r>
    <r>
      <rPr>
        <rFont val="Times New Roman"/>
        <color rgb="FF000000"/>
        <sz val="8.0"/>
      </rPr>
      <t xml:space="preserve"> </t>
    </r>
    <r>
      <rPr>
        <rFont val="Calibri"/>
        <color rgb="FF000000"/>
        <sz val="8.0"/>
      </rPr>
      <t>diperbaharui</t>
    </r>
    <r>
      <rPr>
        <rFont val="Times New Roman"/>
        <color rgb="FF000000"/>
        <sz val="8.0"/>
      </rPr>
      <t xml:space="preserve"> </t>
    </r>
    <r>
      <rPr>
        <rFont val="Calibri"/>
        <color rgb="FF000000"/>
        <sz val="8.0"/>
      </rPr>
      <t>dengan</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No
15/POJK.03/2021</t>
    </r>
  </si>
  <si>
    <t>POJK 37 - 2016.pdf POJK 15 - 2021.pdf</t>
  </si>
  <si>
    <r>
      <rPr>
        <rFont val="Calibri"/>
        <color rgb="FF000000"/>
        <sz val="8.0"/>
      </rPr>
      <t>LAPORAN</t>
    </r>
    <r>
      <rPr>
        <rFont val="Times New Roman"/>
        <color rgb="FF000000"/>
        <sz val="8.0"/>
      </rPr>
      <t xml:space="preserve"> </t>
    </r>
    <r>
      <rPr>
        <rFont val="Calibri"/>
        <color rgb="FF000000"/>
        <sz val="8.0"/>
      </rPr>
      <t>RENCANA</t>
    </r>
    <r>
      <rPr>
        <rFont val="Times New Roman"/>
        <color rgb="FF000000"/>
        <sz val="8.0"/>
      </rPr>
      <t xml:space="preserve"> </t>
    </r>
    <r>
      <rPr>
        <rFont val="Calibri"/>
        <color rgb="FF000000"/>
        <sz val="8.0"/>
      </rPr>
      <t>PENGKINIAN</t>
    </r>
    <r>
      <rPr>
        <rFont val="Times New Roman"/>
        <color rgb="FF000000"/>
        <sz val="8.0"/>
      </rPr>
      <t xml:space="preserve"> </t>
    </r>
    <r>
      <rPr>
        <rFont val="Calibri"/>
        <color rgb="FF000000"/>
        <sz val="8.0"/>
      </rPr>
      <t xml:space="preserve">DATA
</t>
    </r>
    <r>
      <rPr>
        <rFont val="Calibri"/>
        <b/>
        <i/>
        <color rgb="FF000000"/>
        <sz val="8.0"/>
      </rPr>
      <t>(INCLUDE</t>
    </r>
    <r>
      <rPr>
        <rFont val="Times New Roman"/>
        <color rgb="FF000000"/>
        <sz val="8.0"/>
      </rPr>
      <t xml:space="preserve"> </t>
    </r>
    <r>
      <rPr>
        <rFont val="Calibri"/>
        <b/>
        <i/>
        <color rgb="FF000000"/>
        <sz val="8.0"/>
      </rPr>
      <t>LAPORAN</t>
    </r>
    <r>
      <rPr>
        <rFont val="Times New Roman"/>
        <color rgb="FF000000"/>
        <sz val="8.0"/>
      </rPr>
      <t xml:space="preserve"> </t>
    </r>
    <r>
      <rPr>
        <rFont val="Calibri"/>
        <b/>
        <i/>
        <color rgb="FF000000"/>
        <sz val="8.0"/>
      </rPr>
      <t>RBB)</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</si>
  <si>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</si>
  <si>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15</t>
    </r>
    <r>
      <rPr>
        <rFont val="Times New Roman"/>
        <color rgb="FF000000"/>
        <sz val="8.0"/>
      </rPr>
      <t xml:space="preserve"> </t>
    </r>
    <r>
      <rPr>
        <rFont val="Calibri"/>
        <color rgb="FF000000"/>
        <sz val="8.0"/>
      </rPr>
      <t>DESEMBER</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</si>
  <si>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23/POJK.01/2019</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29/SEOJK.03/2019,</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</si>
  <si>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t>POJK 23 - 2019.pdf SEOJK 29 - 2019.pdf POJK 23 - 2024.pdf</t>
  </si>
  <si>
    <r>
      <rPr>
        <rFont val="Calibri"/>
        <color rgb="FF000000"/>
        <sz val="8.0"/>
      </rPr>
      <t>LAPORAN</t>
    </r>
    <r>
      <rPr>
        <rFont val="Times New Roman"/>
        <color rgb="FF000000"/>
        <sz val="8.0"/>
      </rPr>
      <t xml:space="preserve"> </t>
    </r>
    <r>
      <rPr>
        <rFont val="Calibri"/>
        <color rgb="FF000000"/>
        <sz val="8.0"/>
      </rPr>
      <t>TAHUNAN</t>
    </r>
    <r>
      <rPr>
        <rFont val="Times New Roman"/>
        <color rgb="FF000000"/>
        <sz val="8.0"/>
      </rPr>
      <t xml:space="preserve"> </t>
    </r>
    <r>
      <rPr>
        <rFont val="Calibri"/>
        <color rgb="FF000000"/>
        <sz val="8.0"/>
      </rPr>
      <t>TERMASUK</t>
    </r>
    <r>
      <rPr>
        <rFont val="Times New Roman"/>
        <color rgb="FF000000"/>
        <sz val="8.0"/>
      </rPr>
      <t xml:space="preserve"> </t>
    </r>
    <r>
      <rPr>
        <rFont val="Calibri"/>
        <color rgb="FF000000"/>
        <sz val="8.0"/>
      </rPr>
      <t>LAPORAN</t>
    </r>
    <r>
      <rPr>
        <rFont val="Times New Roman"/>
        <color rgb="FF000000"/>
        <sz val="8.0"/>
      </rPr>
      <t xml:space="preserve"> </t>
    </r>
    <r>
      <rPr>
        <rFont val="Calibri"/>
        <color rgb="FF000000"/>
        <sz val="8.0"/>
      </rPr>
      <t>TRANSPARANSI</t>
    </r>
    <r>
      <rPr>
        <rFont val="Times New Roman"/>
        <color rgb="FF000000"/>
        <sz val="8.0"/>
      </rPr>
      <t xml:space="preserve"> </t>
    </r>
    <r>
      <rPr>
        <rFont val="Calibri"/>
        <color rgb="FF000000"/>
        <sz val="8.0"/>
      </rPr>
      <t>PENERAPAN</t>
    </r>
    <r>
      <rPr>
        <rFont val="Times New Roman"/>
        <color rgb="FF000000"/>
        <sz val="8.0"/>
      </rPr>
      <t xml:space="preserve"> </t>
    </r>
    <r>
      <rPr>
        <rFont val="Calibri"/>
        <color rgb="FF000000"/>
        <sz val="8.0"/>
      </rPr>
      <t>TATA</t>
    </r>
    <r>
      <rPr>
        <rFont val="Times New Roman"/>
        <color rgb="FF000000"/>
        <sz val="8.0"/>
      </rPr>
      <t xml:space="preserve"> </t>
    </r>
    <r>
      <rPr>
        <rFont val="Calibri"/>
        <color rgb="FF000000"/>
        <sz val="8.0"/>
      </rPr>
      <t>KELOLA</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PENGUMUMAN</t>
    </r>
    <r>
      <rPr>
        <rFont val="Times New Roman"/>
        <color rgb="FF000000"/>
        <sz val="8.0"/>
      </rPr>
      <t xml:space="preserve"> </t>
    </r>
    <r>
      <rPr>
        <rFont val="Calibri"/>
        <color rgb="FF000000"/>
        <sz val="8.0"/>
      </rPr>
      <t>LAPORAN</t>
    </r>
    <r>
      <rPr>
        <rFont val="Times New Roman"/>
        <color rgb="FF000000"/>
        <sz val="8.0"/>
      </rPr>
      <t xml:space="preserve"> </t>
    </r>
    <r>
      <rPr>
        <rFont val="Calibri"/>
        <color rgb="FF000000"/>
        <sz val="8.0"/>
      </rPr>
      <t>TAHUNAN</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</si>
  <si>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WEBSITE</t>
    </r>
    <r>
      <rPr>
        <rFont val="Times New Roman"/>
        <color rgb="FF000000"/>
        <sz val="8.0"/>
      </rPr>
      <t xml:space="preserve"> </t>
    </r>
    <r>
      <rPr>
        <rFont val="Calibri"/>
        <color rgb="FF000000"/>
        <sz val="8.0"/>
      </rPr>
      <t>BPR</t>
    </r>
  </si>
  <si>
    <r>
      <rPr>
        <rFont val="Calibri"/>
        <color rgb="FF000000"/>
        <sz val="8.0"/>
      </rPr>
      <t>30</t>
    </r>
    <r>
      <rPr>
        <rFont val="Times New Roman"/>
        <color rgb="FF000000"/>
        <sz val="8.0"/>
      </rPr>
      <t xml:space="preserve"> </t>
    </r>
    <r>
      <rPr>
        <rFont val="Calibri"/>
        <color rgb="FF000000"/>
        <sz val="8.0"/>
      </rPr>
      <t>APRIL</t>
    </r>
  </si>
  <si>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39/SEOJK.03/2017,</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</si>
  <si>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t>SEOJK 39 - 2017.pdf POJK 23 - 2024.pdf</t>
  </si>
  <si>
    <r>
      <rPr>
        <rFont val="Calibri"/>
        <color rgb="FF000000"/>
        <sz val="8.0"/>
      </rPr>
      <t>LAPORAN</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TAHUNAN</t>
    </r>
  </si>
  <si>
    <r>
      <rPr>
        <rFont val="Calibri"/>
        <color rgb="FF000000"/>
        <sz val="8.0"/>
      </rPr>
      <t>DIREKTORAT</t>
    </r>
    <r>
      <rPr>
        <rFont val="Times New Roman"/>
        <color rgb="FF000000"/>
        <sz val="8.0"/>
      </rPr>
      <t xml:space="preserve"> </t>
    </r>
    <r>
      <rPr>
        <rFont val="Calibri"/>
        <color rgb="FF000000"/>
        <sz val="8.0"/>
      </rPr>
      <t>JENDRAL</t>
    </r>
    <r>
      <rPr>
        <rFont val="Times New Roman"/>
        <color rgb="FF000000"/>
        <sz val="8.0"/>
      </rPr>
      <t xml:space="preserve"> </t>
    </r>
    <r>
      <rPr>
        <rFont val="Calibri"/>
        <color rgb="FF000000"/>
        <sz val="8.0"/>
      </rPr>
      <t>PAJAK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(EOI)</t>
    </r>
  </si>
  <si>
    <r>
      <rPr>
        <rFont val="Calibri"/>
        <color rgb="FF000000"/>
        <sz val="8.0"/>
      </rPr>
      <t>30</t>
    </r>
    <r>
      <rPr>
        <rFont val="Times New Roman"/>
        <color rgb="FF000000"/>
        <sz val="8.0"/>
      </rPr>
      <t xml:space="preserve"> </t>
    </r>
    <r>
      <rPr>
        <rFont val="Calibri"/>
        <color rgb="FF000000"/>
        <sz val="8.0"/>
      </rPr>
      <t>APRIL</t>
    </r>
  </si>
  <si>
    <r>
      <rPr>
        <rFont val="Calibri"/>
        <color rgb="FF000000"/>
        <sz val="8.0"/>
      </rPr>
      <t>PER04/PJ/2018</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PER41/PJ/2015</t>
    </r>
  </si>
  <si>
    <t>Peraturan Direktur Jenderal Pajak No. PER04-PJ-2018.PDF Peraturan Direktur Jenderal Pajak No. PER41-PJ-2015.pdf</t>
  </si>
  <si>
    <r>
      <rPr>
        <rFont val="Calibri"/>
        <color rgb="FF000000"/>
        <sz val="8.0"/>
      </rPr>
      <t>LAPORAN</t>
    </r>
    <r>
      <rPr>
        <rFont val="Times New Roman"/>
        <color rgb="FF000000"/>
        <sz val="8.0"/>
      </rPr>
      <t xml:space="preserve"> </t>
    </r>
    <r>
      <rPr>
        <rFont val="Calibri"/>
        <color rgb="FF000000"/>
        <sz val="8.0"/>
      </rPr>
      <t>KEUANGAN</t>
    </r>
    <r>
      <rPr>
        <rFont val="Times New Roman"/>
        <color rgb="FF000000"/>
        <sz val="8.0"/>
      </rPr>
      <t xml:space="preserve"> </t>
    </r>
    <r>
      <rPr>
        <rFont val="Calibri"/>
        <color rgb="FF000000"/>
        <sz val="8.0"/>
      </rPr>
      <t>TAHUNAN</t>
    </r>
    <r>
      <rPr>
        <rFont val="Times New Roman"/>
        <color rgb="FF000000"/>
        <sz val="8.0"/>
      </rPr>
      <t xml:space="preserve"> </t>
    </r>
    <r>
      <rPr>
        <rFont val="Calibri"/>
        <color rgb="FF000000"/>
        <sz val="8.0"/>
      </rPr>
      <t>LPS</t>
    </r>
  </si>
  <si>
    <r>
      <rPr>
        <rFont val="Calibri"/>
        <color rgb="FF000000"/>
        <sz val="8.0"/>
      </rPr>
      <t>LPS</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(E-LAPORAN)</t>
    </r>
  </si>
  <si>
    <r>
      <rPr>
        <rFont val="Calibri"/>
        <color rgb="FF000000"/>
        <sz val="8.0"/>
      </rPr>
      <t>31</t>
    </r>
    <r>
      <rPr>
        <rFont val="Times New Roman"/>
        <color rgb="FF000000"/>
        <sz val="8.0"/>
      </rPr>
      <t xml:space="preserve"> </t>
    </r>
    <r>
      <rPr>
        <rFont val="Calibri"/>
        <color rgb="FF000000"/>
        <sz val="8.0"/>
      </rPr>
      <t>MEI</t>
    </r>
  </si>
  <si>
    <r>
      <rPr>
        <rFont val="Calibri"/>
        <color rgb="FF000000"/>
        <sz val="8.0"/>
      </rPr>
      <t>PLPS</t>
    </r>
    <r>
      <rPr>
        <rFont val="Times New Roman"/>
        <color rgb="FF000000"/>
        <sz val="8.0"/>
      </rPr>
      <t xml:space="preserve"> </t>
    </r>
    <r>
      <rPr>
        <rFont val="Calibri"/>
        <color rgb="FF000000"/>
        <sz val="8.0"/>
      </rPr>
      <t>I/2008</t>
    </r>
    <r>
      <rPr>
        <rFont val="Times New Roman"/>
        <color rgb="FF000000"/>
        <sz val="8.0"/>
      </rPr>
      <t xml:space="preserve"> </t>
    </r>
    <r>
      <rPr>
        <rFont val="Calibri"/>
        <color rgb="FF000000"/>
        <sz val="8.0"/>
      </rPr>
      <t>peraturan</t>
    </r>
    <r>
      <rPr>
        <rFont val="Times New Roman"/>
        <color rgb="FF000000"/>
        <sz val="8.0"/>
      </rPr>
      <t xml:space="preserve"> </t>
    </r>
    <r>
      <rPr>
        <rFont val="Calibri"/>
        <color rgb="FF000000"/>
        <sz val="8.0"/>
      </rPr>
      <t>terbaru</t>
    </r>
    <r>
      <rPr>
        <rFont val="Times New Roman"/>
        <color rgb="FF000000"/>
        <sz val="8.0"/>
      </rPr>
      <t xml:space="preserve"> </t>
    </r>
    <r>
      <rPr>
        <rFont val="Calibri"/>
        <color rgb="FF000000"/>
        <sz val="8.0"/>
      </rPr>
      <t>PLPS</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2/2018,</t>
    </r>
    <r>
      <rPr>
        <rFont val="Times New Roman"/>
        <color rgb="FF000000"/>
        <sz val="8.0"/>
      </rPr>
      <t xml:space="preserve"> </t>
    </r>
    <r>
      <rPr>
        <rFont val="Calibri"/>
        <color rgb="FF000000"/>
        <sz val="8.0"/>
      </rPr>
      <t>PLPS</t>
    </r>
    <r>
      <rPr>
        <rFont val="Times New Roman"/>
        <color rgb="FF000000"/>
        <sz val="8.0"/>
      </rPr>
      <t xml:space="preserve"> </t>
    </r>
    <r>
      <rPr>
        <rFont val="Calibri"/>
        <color rgb="FF000000"/>
        <sz val="8.0"/>
      </rPr>
      <t>No
7</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2019</t>
    </r>
  </si>
  <si>
    <t>PLPS 2 - 2018.pdf PLPS 7 - 2019.pdf</t>
  </si>
  <si>
    <r>
      <rPr>
        <rFont val="Calibri"/>
        <color rgb="FF000000"/>
        <sz val="8.0"/>
      </rPr>
      <t>LAPORAN</t>
    </r>
    <r>
      <rPr>
        <rFont val="Times New Roman"/>
        <color rgb="FF000000"/>
        <sz val="8.0"/>
      </rPr>
      <t xml:space="preserve"> </t>
    </r>
    <r>
      <rPr>
        <rFont val="Calibri"/>
        <color rgb="FF000000"/>
        <sz val="8.0"/>
      </rPr>
      <t>PENYAMPAIAN</t>
    </r>
    <r>
      <rPr>
        <rFont val="Times New Roman"/>
        <color rgb="FF000000"/>
        <sz val="8.0"/>
      </rPr>
      <t xml:space="preserve"> </t>
    </r>
    <r>
      <rPr>
        <rFont val="Calibri"/>
        <color rgb="FF000000"/>
        <sz val="8.0"/>
      </rPr>
      <t>NASABAH</t>
    </r>
    <r>
      <rPr>
        <rFont val="Times New Roman"/>
        <color rgb="FF000000"/>
        <sz val="8.0"/>
      </rPr>
      <t xml:space="preserve"> </t>
    </r>
    <r>
      <rPr>
        <rFont val="Calibri"/>
        <color rgb="FF000000"/>
        <sz val="8.0"/>
      </rPr>
      <t>ASING</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</si>
  <si>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(WEB</t>
    </r>
    <r>
      <rPr>
        <rFont val="Times New Roman"/>
        <color rgb="FF000000"/>
        <sz val="8.0"/>
      </rPr>
      <t xml:space="preserve"> </t>
    </r>
    <r>
      <rPr>
        <rFont val="Calibri"/>
        <color rgb="FF000000"/>
        <sz val="8.0"/>
      </rPr>
      <t>SIPINA)</t>
    </r>
  </si>
  <si>
    <r>
      <rPr>
        <rFont val="Calibri"/>
        <color rgb="FF000000"/>
        <sz val="8.0"/>
      </rPr>
      <t>01</t>
    </r>
    <r>
      <rPr>
        <rFont val="Times New Roman"/>
        <color rgb="FF000000"/>
        <sz val="8.0"/>
      </rPr>
      <t xml:space="preserve"> </t>
    </r>
    <r>
      <rPr>
        <rFont val="Calibri"/>
        <color rgb="FF000000"/>
        <sz val="8.0"/>
      </rPr>
      <t>AGUSTUS</t>
    </r>
  </si>
  <si>
    <r>
      <rPr>
        <rFont val="Calibri"/>
        <color rgb="FF000000"/>
        <sz val="8.0"/>
      </rPr>
      <t>UU</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9</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2017</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No.25/POJK.03/2015</t>
    </r>
  </si>
  <si>
    <t>UU Nomor 9 Tahun 2017.pdf POJK 25 - 2015.pdf</t>
  </si>
  <si>
    <r>
      <rPr>
        <rFont val="Calibri"/>
        <color rgb="FF000000"/>
        <sz val="8.0"/>
      </rPr>
      <t>LAPORAN</t>
    </r>
    <r>
      <rPr>
        <rFont val="Times New Roman"/>
        <color rgb="FF000000"/>
        <sz val="8.0"/>
      </rPr>
      <t xml:space="preserve"> </t>
    </r>
    <r>
      <rPr>
        <rFont val="Calibri"/>
        <color rgb="FF000000"/>
        <sz val="8.0"/>
      </rPr>
      <t>SELF</t>
    </r>
    <r>
      <rPr>
        <rFont val="Times New Roman"/>
        <color rgb="FF000000"/>
        <sz val="8.0"/>
      </rPr>
      <t xml:space="preserve"> </t>
    </r>
    <r>
      <rPr>
        <rFont val="Calibri"/>
        <color rgb="FF000000"/>
        <sz val="8.0"/>
      </rPr>
      <t>ASSESMENT</t>
    </r>
    <r>
      <rPr>
        <rFont val="Times New Roman"/>
        <color rgb="FF000000"/>
        <sz val="8.0"/>
      </rPr>
      <t xml:space="preserve"> </t>
    </r>
    <r>
      <rPr>
        <rFont val="Calibri"/>
        <color rgb="FF000000"/>
        <sz val="8.0"/>
      </rPr>
      <t>EDUKASI</t>
    </r>
    <r>
      <rPr>
        <rFont val="Times New Roman"/>
        <color rgb="FF000000"/>
        <sz val="8.0"/>
      </rPr>
      <t xml:space="preserve"> </t>
    </r>
    <r>
      <rPr>
        <rFont val="Calibri"/>
        <color rgb="FF000000"/>
        <sz val="8.0"/>
      </rPr>
      <t xml:space="preserve">&amp;
</t>
    </r>
    <r>
      <rPr>
        <rFont val="Calibri"/>
        <color rgb="FF000000"/>
        <sz val="8.0"/>
      </rPr>
      <t>PERLINDUNGAN</t>
    </r>
    <r>
      <rPr>
        <rFont val="Times New Roman"/>
        <color rgb="FF000000"/>
        <sz val="8.0"/>
      </rPr>
      <t xml:space="preserve"> </t>
    </r>
    <r>
      <rPr>
        <rFont val="Calibri"/>
        <color rgb="FF000000"/>
        <sz val="8.0"/>
      </rPr>
      <t>KONSUMEN</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</si>
  <si>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(SIPEDULI)</t>
    </r>
  </si>
  <si>
    <r>
      <rPr>
        <rFont val="Calibri"/>
        <color rgb="FF000000"/>
        <sz val="8.0"/>
      </rPr>
      <t>30</t>
    </r>
    <r>
      <rPr>
        <rFont val="Times New Roman"/>
        <color rgb="FF000000"/>
        <sz val="8.0"/>
      </rPr>
      <t xml:space="preserve"> </t>
    </r>
    <r>
      <rPr>
        <rFont val="Calibri"/>
        <color rgb="FF000000"/>
        <sz val="8.0"/>
      </rPr>
      <t>SEPTEMBER</t>
    </r>
  </si>
  <si>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02/SEOJK.07/2014</t>
    </r>
  </si>
  <si>
    <t>SEOJK 02 - 2014.pdf</t>
  </si>
  <si>
    <r>
      <rPr>
        <rFont val="Calibri"/>
        <color rgb="FF000000"/>
        <sz val="8.0"/>
      </rPr>
      <t>PENGUMUMAN</t>
    </r>
    <r>
      <rPr>
        <rFont val="Times New Roman"/>
        <color rgb="FF000000"/>
        <sz val="8.0"/>
      </rPr>
      <t xml:space="preserve"> </t>
    </r>
    <r>
      <rPr>
        <rFont val="Calibri"/>
        <color rgb="FF000000"/>
        <sz val="8.0"/>
      </rPr>
      <t>LAPORAN</t>
    </r>
    <r>
      <rPr>
        <rFont val="Times New Roman"/>
        <color rgb="FF000000"/>
        <sz val="8.0"/>
      </rPr>
      <t xml:space="preserve"> </t>
    </r>
    <r>
      <rPr>
        <rFont val="Calibri"/>
        <color rgb="FF000000"/>
        <sz val="8.0"/>
      </rPr>
      <t>KEUANGAN</t>
    </r>
    <r>
      <rPr>
        <rFont val="Times New Roman"/>
        <color rgb="FF000000"/>
        <sz val="8.0"/>
      </rPr>
      <t xml:space="preserve"> </t>
    </r>
    <r>
      <rPr>
        <rFont val="Calibri"/>
        <color rgb="FF000000"/>
        <sz val="8.0"/>
      </rPr>
      <t>PUBLIKASI</t>
    </r>
    <r>
      <rPr>
        <rFont val="Times New Roman"/>
        <color rgb="FF000000"/>
        <sz val="8.0"/>
      </rPr>
      <t xml:space="preserve"> </t>
    </r>
    <r>
      <rPr>
        <rFont val="Calibri"/>
        <b/>
        <color rgb="FF000000"/>
        <sz val="8.0"/>
      </rPr>
      <t>PERIODE</t>
    </r>
    <r>
      <rPr>
        <rFont val="Times New Roman"/>
        <color rgb="FF000000"/>
        <sz val="8.0"/>
      </rPr>
      <t xml:space="preserve"> </t>
    </r>
    <r>
      <rPr>
        <rFont val="Calibri"/>
        <b/>
        <color rgb="FF000000"/>
        <sz val="8.0"/>
      </rPr>
      <t>DESEMBER</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</si>
  <si>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(HARDCOPY)</t>
    </r>
    <r>
      <rPr>
        <rFont val="Times New Roman"/>
        <color rgb="FF000000"/>
        <sz val="8.0"/>
      </rPr>
      <t xml:space="preserve"> </t>
    </r>
    <r>
      <rPr>
        <rFont val="Calibri"/>
        <color rgb="FF000000"/>
        <sz val="8.0"/>
      </rPr>
      <t>SURAT</t>
    </r>
    <r>
      <rPr>
        <rFont val="Times New Roman"/>
        <color rgb="FF000000"/>
        <sz val="8.0"/>
      </rPr>
      <t xml:space="preserve"> </t>
    </r>
    <r>
      <rPr>
        <rFont val="Calibri"/>
        <color rgb="FF000000"/>
        <sz val="8.0"/>
      </rPr>
      <t>KABAR</t>
    </r>
    <r>
      <rPr>
        <rFont val="Times New Roman"/>
        <color rgb="FF000000"/>
        <sz val="8.0"/>
      </rPr>
      <t xml:space="preserve"> </t>
    </r>
    <r>
      <rPr>
        <rFont val="Calibri"/>
        <color rgb="FF000000"/>
        <sz val="8.0"/>
      </rPr>
      <t>HARIAN</t>
    </r>
    <r>
      <rPr>
        <rFont val="Times New Roman"/>
        <color rgb="FF000000"/>
        <sz val="8.0"/>
      </rPr>
      <t xml:space="preserve"> </t>
    </r>
    <r>
      <rPr>
        <rFont val="Calibri"/>
        <color rgb="FF000000"/>
        <sz val="8.0"/>
      </rPr>
      <t>LOKAL</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MEDIA</t>
    </r>
    <r>
      <rPr>
        <rFont val="Times New Roman"/>
        <color rgb="FF000000"/>
        <sz val="8.0"/>
      </rPr>
      <t xml:space="preserve"> </t>
    </r>
    <r>
      <rPr>
        <rFont val="Calibri"/>
        <color rgb="FF000000"/>
        <sz val="8.0"/>
      </rPr>
      <t>PENGUMUMAN</t>
    </r>
    <r>
      <rPr>
        <rFont val="Times New Roman"/>
        <color rgb="FF000000"/>
        <sz val="8.0"/>
      </rPr>
      <t xml:space="preserve"> </t>
    </r>
    <r>
      <rPr>
        <rFont val="Calibri"/>
        <color rgb="FF000000"/>
        <sz val="8.0"/>
      </rPr>
      <t>DI</t>
    </r>
    <r>
      <rPr>
        <rFont val="Times New Roman"/>
        <color rgb="FF000000"/>
        <sz val="8.0"/>
      </rPr>
      <t xml:space="preserve"> </t>
    </r>
    <r>
      <rPr>
        <rFont val="Calibri"/>
        <color rgb="FF000000"/>
        <sz val="8.0"/>
      </rPr>
      <t>KANTOR</t>
    </r>
  </si>
  <si>
    <r>
      <rPr>
        <rFont val="Calibri"/>
        <color rgb="FF000000"/>
        <sz val="8.0"/>
      </rPr>
      <t>30</t>
    </r>
    <r>
      <rPr>
        <rFont val="Times New Roman"/>
        <color rgb="FF000000"/>
        <sz val="8.0"/>
      </rPr>
      <t xml:space="preserve"> </t>
    </r>
    <r>
      <rPr>
        <rFont val="Calibri"/>
        <color rgb="FF000000"/>
        <sz val="8.0"/>
      </rPr>
      <t>APRIL</t>
    </r>
  </si>
  <si>
    <r>
      <rPr>
        <rFont val="Calibri"/>
        <color rgb="FF000000"/>
        <sz val="8.0"/>
      </rPr>
      <t>POJK</t>
    </r>
    <r>
      <rPr>
        <rFont val="Times New Roman"/>
        <color rgb="FF000000"/>
        <sz val="8.0"/>
      </rPr>
      <t xml:space="preserve"> </t>
    </r>
    <r>
      <rPr>
        <rFont val="Calibri"/>
        <color rgb="FF000000"/>
        <sz val="8.0"/>
      </rPr>
      <t>No.48/2017</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No.39/2017,</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</si>
  <si>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t>POJK 48 - 2017.pdf SEOJK 39 - 2017.pdf POJK 23 - 2024.pdf</t>
  </si>
  <si>
    <r>
      <rPr>
        <rFont val="Calibri"/>
        <color rgb="FF000000"/>
        <sz val="8.0"/>
      </rPr>
      <t>LAPORAN</t>
    </r>
    <r>
      <rPr>
        <rFont val="Times New Roman"/>
        <color rgb="FF000000"/>
        <sz val="8.0"/>
      </rPr>
      <t xml:space="preserve"> </t>
    </r>
    <r>
      <rPr>
        <rFont val="Calibri"/>
        <color rgb="FF000000"/>
        <sz val="8.0"/>
      </rPr>
      <t>RENCANA</t>
    </r>
    <r>
      <rPr>
        <rFont val="Times New Roman"/>
        <color rgb="FF000000"/>
        <sz val="8.0"/>
      </rPr>
      <t xml:space="preserve"> </t>
    </r>
    <r>
      <rPr>
        <rFont val="Calibri"/>
        <color rgb="FF000000"/>
        <sz val="8.0"/>
      </rPr>
      <t>LITERASI</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INKLUSI</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</si>
  <si>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(SIPEDULI)</t>
    </r>
  </si>
  <si>
    <r>
      <rPr>
        <rFont val="Calibri"/>
        <color rgb="FF000000"/>
        <sz val="8.0"/>
      </rPr>
      <t>30</t>
    </r>
    <r>
      <rPr>
        <rFont val="Times New Roman"/>
        <color rgb="FF000000"/>
        <sz val="8.0"/>
      </rPr>
      <t xml:space="preserve"> </t>
    </r>
    <r>
      <rPr>
        <rFont val="Calibri"/>
        <color rgb="FF000000"/>
        <sz val="8.0"/>
      </rPr>
      <t>NOVEMBER</t>
    </r>
  </si>
  <si>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76/POJK.07/2016,</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30/SEOJK.07/2017,</t>
    </r>
    <r>
      <rPr>
        <rFont val="Times New Roman"/>
        <color rgb="FF000000"/>
        <sz val="8.0"/>
      </rPr>
      <t xml:space="preserve"> </t>
    </r>
    <r>
      <rPr>
        <rFont val="Calibri"/>
        <color rgb="FF000000"/>
        <sz val="8.0"/>
      </rPr>
      <t>SEOJK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31/SEOJK.07/2017,</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NO.</t>
    </r>
    <r>
      <rPr>
        <rFont val="Times New Roman"/>
        <color rgb="FF000000"/>
        <sz val="8.0"/>
      </rPr>
      <t xml:space="preserve"> </t>
    </r>
    <r>
      <rPr>
        <rFont val="Calibri"/>
        <color rgb="FF000000"/>
        <sz val="8.0"/>
      </rPr>
      <t>03/2023,</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22 Tahun</t>
    </r>
    <r>
      <rPr>
        <rFont val="Times New Roman"/>
        <color rgb="FF000000"/>
        <sz val="8.0"/>
      </rPr>
      <t xml:space="preserve"> </t>
    </r>
    <r>
      <rPr>
        <rFont val="Calibri"/>
        <color rgb="FF000000"/>
        <sz val="8.0"/>
      </rPr>
      <t>2023</t>
    </r>
  </si>
  <si>
    <t>POJK 76 - 2016.pdf SEOJK 30 - 2017.pdf SEOJK 31 - 2017.pdf POJK 03 - 2023.pdf POJK 22 - 2023.pdf</t>
  </si>
  <si>
    <r>
      <rPr>
        <rFont val="Calibri"/>
        <color rgb="FF000000"/>
        <sz val="8.0"/>
      </rPr>
      <t>LAPORAN</t>
    </r>
    <r>
      <rPr>
        <rFont val="Times New Roman"/>
        <color rgb="FF000000"/>
        <sz val="8.0"/>
      </rPr>
      <t xml:space="preserve"> </t>
    </r>
    <r>
      <rPr>
        <rFont val="Calibri"/>
        <color rgb="FF000000"/>
        <sz val="8.0"/>
      </rPr>
      <t>INDIVIDUAL</t>
    </r>
    <r>
      <rPr>
        <rFont val="Times New Roman"/>
        <color rgb="FF000000"/>
        <sz val="8.0"/>
      </rPr>
      <t xml:space="preserve"> </t>
    </r>
    <r>
      <rPr>
        <rFont val="Calibri"/>
        <color rgb="FF000000"/>
        <sz val="8.0"/>
      </rPr>
      <t>RISK</t>
    </r>
    <r>
      <rPr>
        <rFont val="Times New Roman"/>
        <color rgb="FF000000"/>
        <sz val="8.0"/>
      </rPr>
      <t xml:space="preserve"> </t>
    </r>
    <r>
      <rPr>
        <rFont val="Calibri"/>
        <color rgb="FF000000"/>
        <sz val="8.0"/>
      </rPr>
      <t>ASSESSMENT</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</si>
  <si>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OFFLINE</t>
    </r>
    <r>
      <rPr>
        <rFont val="Times New Roman"/>
        <color rgb="FF000000"/>
        <sz val="8.0"/>
      </rPr>
      <t xml:space="preserve"> </t>
    </r>
    <r>
      <rPr>
        <rFont val="Calibri"/>
        <color rgb="FF000000"/>
        <sz val="8.0"/>
      </rPr>
      <t>(HARDCOPY)</t>
    </r>
  </si>
  <si>
    <r>
      <rPr>
        <rFont val="Calibri"/>
        <color rgb="FF000000"/>
        <sz val="8.0"/>
      </rPr>
      <t>TGL</t>
    </r>
    <r>
      <rPr>
        <rFont val="Times New Roman"/>
        <color rgb="FF000000"/>
        <sz val="8.0"/>
      </rPr>
      <t xml:space="preserve"> </t>
    </r>
    <r>
      <rPr>
        <rFont val="Calibri"/>
        <color rgb="FF000000"/>
        <sz val="8.0"/>
      </rPr>
      <t>14</t>
    </r>
    <r>
      <rPr>
        <rFont val="Times New Roman"/>
        <color rgb="FF000000"/>
        <sz val="8.0"/>
      </rPr>
      <t xml:space="preserve"> </t>
    </r>
    <r>
      <rPr>
        <rFont val="Calibri"/>
        <color rgb="FF000000"/>
        <sz val="8.0"/>
      </rPr>
      <t>JUNI</t>
    </r>
  </si>
  <si>
    <r>
      <rPr>
        <rFont val="Calibri"/>
        <color rgb="FF000000"/>
        <sz val="8.0"/>
      </rPr>
      <t>POJK</t>
    </r>
    <r>
      <rPr>
        <rFont val="Times New Roman"/>
        <color rgb="FF000000"/>
        <sz val="8.0"/>
      </rPr>
      <t xml:space="preserve"> </t>
    </r>
    <r>
      <rPr>
        <rFont val="Calibri"/>
        <color rgb="FF000000"/>
        <sz val="8.0"/>
      </rPr>
      <t>8</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2023</t>
    </r>
  </si>
  <si>
    <t>POJK 8 - 2023.pdf</t>
  </si>
  <si>
    <r>
      <rPr>
        <rFont val="Calibri"/>
        <color rgb="FF000000"/>
        <sz val="8.0"/>
      </rPr>
      <t>LAPORAN</t>
    </r>
    <r>
      <rPr>
        <rFont val="Times New Roman"/>
        <color rgb="FF000000"/>
        <sz val="8.0"/>
      </rPr>
      <t xml:space="preserve"> </t>
    </r>
    <r>
      <rPr>
        <rFont val="Calibri"/>
        <color rgb="FF000000"/>
        <sz val="8.0"/>
      </rPr>
      <t>PENUNJUKAN</t>
    </r>
    <r>
      <rPr>
        <rFont val="Times New Roman"/>
        <color rgb="FF000000"/>
        <sz val="8.0"/>
      </rPr>
      <t xml:space="preserve"> </t>
    </r>
    <r>
      <rPr>
        <rFont val="Calibri"/>
        <color rgb="FF000000"/>
        <sz val="8.0"/>
      </rPr>
      <t>AP/KAP</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</si>
  <si>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</si>
  <si>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10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 xml:space="preserve">PKS
</t>
    </r>
    <r>
      <rPr>
        <rFont val="Calibri"/>
        <color rgb="FF000000"/>
        <sz val="8.0"/>
      </rPr>
      <t>DENGAN</t>
    </r>
    <r>
      <rPr>
        <rFont val="Times New Roman"/>
        <color rgb="FF000000"/>
        <sz val="8.0"/>
      </rPr>
      <t xml:space="preserve"> </t>
    </r>
    <r>
      <rPr>
        <rFont val="Calibri"/>
        <color rgb="FF000000"/>
        <sz val="8.0"/>
      </rPr>
      <t>KAP</t>
    </r>
  </si>
  <si>
    <r>
      <rPr>
        <rFont val="Calibri"/>
        <color rgb="FF000000"/>
        <sz val="8.0"/>
      </rPr>
      <t>POJK</t>
    </r>
    <r>
      <rPr>
        <rFont val="Times New Roman"/>
        <color rgb="FF000000"/>
        <sz val="8.0"/>
      </rPr>
      <t xml:space="preserve"> </t>
    </r>
    <r>
      <rPr>
        <rFont val="Calibri"/>
        <color rgb="FF000000"/>
        <sz val="8.0"/>
      </rPr>
      <t>9</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2023,</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</si>
  <si>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t>POJK 9 - 2023.pdf POJK 23 - 2024.pdf</t>
  </si>
  <si>
    <r>
      <rPr>
        <rFont val="Calibri"/>
        <color rgb="FF000000"/>
        <sz val="8.0"/>
      </rPr>
      <t>LAPORAN</t>
    </r>
    <r>
      <rPr>
        <rFont val="Times New Roman"/>
        <color rgb="FF000000"/>
        <sz val="8.0"/>
      </rPr>
      <t xml:space="preserve"> </t>
    </r>
    <r>
      <rPr>
        <rFont val="Calibri"/>
        <color rgb="FF000000"/>
        <sz val="8.0"/>
      </rPr>
      <t>REALISASI</t>
    </r>
    <r>
      <rPr>
        <rFont val="Times New Roman"/>
        <color rgb="FF000000"/>
        <sz val="8.0"/>
      </rPr>
      <t xml:space="preserve"> </t>
    </r>
    <r>
      <rPr>
        <rFont val="Calibri"/>
        <color rgb="FF000000"/>
        <sz val="8.0"/>
      </rPr>
      <t>AP/KAP</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</si>
  <si>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</si>
  <si>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30</t>
    </r>
    <r>
      <rPr>
        <rFont val="Times New Roman"/>
        <color rgb="FF000000"/>
        <sz val="8.0"/>
      </rPr>
      <t xml:space="preserve"> </t>
    </r>
    <r>
      <rPr>
        <rFont val="Calibri"/>
        <color rgb="FF000000"/>
        <sz val="8.0"/>
      </rPr>
      <t>JUNI</t>
    </r>
    <r>
      <rPr>
        <rFont val="Times New Roman"/>
        <color rgb="FF000000"/>
        <sz val="8.0"/>
      </rPr>
      <t xml:space="preserve"> </t>
    </r>
    <r>
      <rPr>
        <rFont val="Calibri"/>
        <color rgb="FF000000"/>
        <sz val="8.0"/>
      </rPr>
      <t>(MAKS</t>
    </r>
    <r>
      <rPr>
        <rFont val="Times New Roman"/>
        <color rgb="FF000000"/>
        <sz val="8.0"/>
      </rPr>
      <t xml:space="preserve"> </t>
    </r>
    <r>
      <rPr>
        <rFont val="Calibri"/>
        <color rgb="FF000000"/>
        <sz val="8.0"/>
      </rPr>
      <t>6</t>
    </r>
    <r>
      <rPr>
        <rFont val="Times New Roman"/>
        <color rgb="FF000000"/>
        <sz val="8.0"/>
      </rPr>
      <t xml:space="preserve"> </t>
    </r>
    <r>
      <rPr>
        <rFont val="Calibri"/>
        <color rgb="FF000000"/>
        <sz val="8.0"/>
      </rPr>
      <t>BULAN</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 xml:space="preserve">BUKU
</t>
    </r>
    <r>
      <rPr>
        <rFont val="Calibri"/>
        <color rgb="FF000000"/>
        <sz val="8.0"/>
      </rPr>
      <t>BERAKHIR)</t>
    </r>
  </si>
  <si>
    <r>
      <rPr>
        <rFont val="Calibri"/>
        <color rgb="FF000000"/>
        <sz val="8.0"/>
      </rPr>
      <t>POJK</t>
    </r>
    <r>
      <rPr>
        <rFont val="Times New Roman"/>
        <color rgb="FF000000"/>
        <sz val="8.0"/>
      </rPr>
      <t xml:space="preserve"> </t>
    </r>
    <r>
      <rPr>
        <rFont val="Calibri"/>
        <color rgb="FF000000"/>
        <sz val="8.0"/>
      </rPr>
      <t>9</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2023,</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</si>
  <si>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r>
      <rPr>
        <rFont val="Calibri"/>
        <b/>
        <color theme="1"/>
        <sz val="8.0"/>
      </rPr>
      <t>INSIDENTAL</t>
    </r>
  </si>
  <si>
    <r>
      <rPr>
        <rFont val="Calibri"/>
        <color rgb="FF000000"/>
        <sz val="8.0"/>
      </rPr>
      <t>LAPORAN</t>
    </r>
    <r>
      <rPr>
        <rFont val="Times New Roman"/>
        <color rgb="FF000000"/>
        <sz val="8.0"/>
      </rPr>
      <t xml:space="preserve"> </t>
    </r>
    <r>
      <rPr>
        <rFont val="Calibri"/>
        <color rgb="FF000000"/>
        <sz val="8.0"/>
      </rPr>
      <t>DTTOT</t>
    </r>
    <r>
      <rPr>
        <rFont val="Times New Roman"/>
        <color rgb="FF000000"/>
        <sz val="8.0"/>
      </rPr>
      <t xml:space="preserve"> </t>
    </r>
    <r>
      <rPr>
        <rFont val="Calibri"/>
        <color rgb="FF000000"/>
        <sz val="8.0"/>
      </rPr>
      <t>&amp;</t>
    </r>
    <r>
      <rPr>
        <rFont val="Times New Roman"/>
        <color rgb="FF000000"/>
        <sz val="8.0"/>
      </rPr>
      <t xml:space="preserve"> </t>
    </r>
    <r>
      <rPr>
        <rFont val="Calibri"/>
        <color rgb="FF000000"/>
        <sz val="8.0"/>
      </rPr>
      <t>PPSPM</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</si>
  <si>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(SIGAP)</t>
    </r>
  </si>
  <si>
    <r>
      <rPr>
        <rFont val="Calibri"/>
        <color rgb="FF000000"/>
        <sz val="8.0"/>
      </rPr>
      <t>SESUAI</t>
    </r>
    <r>
      <rPr>
        <rFont val="Times New Roman"/>
        <color rgb="FF000000"/>
        <sz val="8.0"/>
      </rPr>
      <t xml:space="preserve"> </t>
    </r>
    <r>
      <rPr>
        <rFont val="Calibri"/>
        <color rgb="FF000000"/>
        <sz val="8.0"/>
      </rPr>
      <t>EMAIL</t>
    </r>
    <r>
      <rPr>
        <rFont val="Times New Roman"/>
        <color rgb="FF000000"/>
        <sz val="8.0"/>
      </rPr>
      <t xml:space="preserve"> </t>
    </r>
    <r>
      <rPr>
        <rFont val="Calibri"/>
        <color rgb="FF000000"/>
        <sz val="8.0"/>
      </rPr>
      <t>MASUK</t>
    </r>
  </si>
  <si>
    <r>
      <rPr>
        <rFont val="Calibri"/>
        <color theme="1"/>
        <sz val="8.0"/>
      </rPr>
      <t>-</t>
    </r>
  </si>
  <si>
    <r>
      <rPr>
        <rFont val="Calibri"/>
        <color rgb="FF000000"/>
        <sz val="8.0"/>
      </rPr>
      <t>LAPORAN</t>
    </r>
    <r>
      <rPr>
        <rFont val="Times New Roman"/>
        <color rgb="FF000000"/>
        <sz val="8.0"/>
      </rPr>
      <t xml:space="preserve"> </t>
    </r>
    <r>
      <rPr>
        <rFont val="Calibri"/>
        <color rgb="FF000000"/>
        <sz val="8.0"/>
      </rPr>
      <t>STRATEGI</t>
    </r>
    <r>
      <rPr>
        <rFont val="Times New Roman"/>
        <color rgb="FF000000"/>
        <sz val="8.0"/>
      </rPr>
      <t xml:space="preserve"> </t>
    </r>
    <r>
      <rPr>
        <rFont val="Calibri"/>
        <color rgb="FF000000"/>
        <sz val="8.0"/>
      </rPr>
      <t>ANTI</t>
    </r>
    <r>
      <rPr>
        <rFont val="Times New Roman"/>
        <color rgb="FF000000"/>
        <sz val="8.0"/>
      </rPr>
      <t xml:space="preserve"> </t>
    </r>
    <r>
      <rPr>
        <rFont val="Calibri"/>
        <color rgb="FF000000"/>
        <sz val="8.0"/>
      </rPr>
      <t>FRAUD</t>
    </r>
    <r>
      <rPr>
        <rFont val="Times New Roman"/>
        <color rgb="FF000000"/>
        <sz val="8.0"/>
      </rPr>
      <t xml:space="preserve"> </t>
    </r>
    <r>
      <rPr>
        <rFont val="Calibri"/>
        <color rgb="FF000000"/>
        <sz val="8.0"/>
      </rPr>
      <t>(KEJADIAN</t>
    </r>
    <r>
      <rPr>
        <rFont val="Times New Roman"/>
        <color rgb="FF000000"/>
        <sz val="8.0"/>
      </rPr>
      <t xml:space="preserve"> </t>
    </r>
    <r>
      <rPr>
        <rFont val="Calibri"/>
        <color rgb="FF000000"/>
        <sz val="8.0"/>
      </rPr>
      <t>FRAUD)</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</si>
  <si>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</si>
  <si>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3</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KEJADIAN</t>
    </r>
  </si>
  <si>
    <r>
      <rPr>
        <rFont val="Calibri"/>
        <color rgb="FF000000"/>
        <sz val="8.0"/>
      </rPr>
      <t>POJK</t>
    </r>
    <r>
      <rPr>
        <rFont val="Times New Roman"/>
        <color rgb="FF000000"/>
        <sz val="8.0"/>
      </rPr>
      <t xml:space="preserve"> </t>
    </r>
    <r>
      <rPr>
        <rFont val="Calibri"/>
        <color rgb="FF000000"/>
        <sz val="8.0"/>
      </rPr>
      <t>12</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r>
      <rPr>
        <rFont val="Times New Roman"/>
        <color rgb="FF000000"/>
        <sz val="8.0"/>
      </rPr>
      <t xml:space="preserve"> </t>
    </r>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</si>
  <si>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r>
      <rPr>
        <rFont val="Calibri"/>
        <color rgb="FF000000"/>
        <sz val="8.0"/>
      </rPr>
      <t>PENGAJUAN</t>
    </r>
    <r>
      <rPr>
        <rFont val="Times New Roman"/>
        <color rgb="FF000000"/>
        <sz val="8.0"/>
      </rPr>
      <t xml:space="preserve"> </t>
    </r>
    <r>
      <rPr>
        <rFont val="Calibri"/>
        <color rgb="FF000000"/>
        <sz val="8.0"/>
      </rPr>
      <t>NOMOR</t>
    </r>
    <r>
      <rPr>
        <rFont val="Times New Roman"/>
        <color rgb="FF000000"/>
        <sz val="8.0"/>
      </rPr>
      <t xml:space="preserve"> </t>
    </r>
    <r>
      <rPr>
        <rFont val="Calibri"/>
        <color rgb="FF000000"/>
        <sz val="8.0"/>
      </rPr>
      <t>SANDI</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KEWAJIBAN</t>
    </r>
    <r>
      <rPr>
        <rFont val="Times New Roman"/>
        <color rgb="FF000000"/>
        <sz val="8.0"/>
      </rPr>
      <t xml:space="preserve"> </t>
    </r>
    <r>
      <rPr>
        <rFont val="Calibri"/>
        <color rgb="FF000000"/>
        <sz val="8.0"/>
      </rPr>
      <t>PENYAMPAIAN</t>
    </r>
    <r>
      <rPr>
        <rFont val="Times New Roman"/>
        <color rgb="FF000000"/>
        <sz val="8.0"/>
      </rPr>
      <t xml:space="preserve"> </t>
    </r>
    <r>
      <rPr>
        <rFont val="Calibri"/>
        <color rgb="FF000000"/>
        <sz val="8.0"/>
      </rPr>
      <t>LAPORAN</t>
    </r>
    <r>
      <rPr>
        <rFont val="Times New Roman"/>
        <color rgb="FF000000"/>
        <sz val="8.0"/>
      </rPr>
      <t xml:space="preserve"> </t>
    </r>
    <r>
      <rPr>
        <rFont val="Calibri"/>
        <color rgb="FF000000"/>
        <sz val="8.0"/>
      </rPr>
      <t>BAGI</t>
    </r>
    <r>
      <rPr>
        <rFont val="Times New Roman"/>
        <color rgb="FF000000"/>
        <sz val="8.0"/>
      </rPr>
      <t xml:space="preserve"> </t>
    </r>
    <r>
      <rPr>
        <rFont val="Calibri"/>
        <color rgb="FF000000"/>
        <sz val="8.0"/>
      </rPr>
      <t>BPR/BPRS</t>
    </r>
    <r>
      <rPr>
        <rFont val="Times New Roman"/>
        <color rgb="FF000000"/>
        <sz val="8.0"/>
      </rPr>
      <t xml:space="preserve"> </t>
    </r>
    <r>
      <rPr>
        <rFont val="Calibri"/>
        <color rgb="FF000000"/>
        <sz val="8.0"/>
      </rPr>
      <t>BARU</t>
    </r>
  </si>
  <si>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</si>
  <si>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r>
      <rPr>
        <rFont val="Calibri"/>
        <color rgb="FF000000"/>
        <sz val="8.0"/>
      </rPr>
      <t>1</t>
    </r>
    <r>
      <rPr>
        <rFont val="Times New Roman"/>
        <color rgb="FF000000"/>
        <sz val="8.0"/>
      </rPr>
      <t xml:space="preserve"> </t>
    </r>
    <r>
      <rPr>
        <rFont val="Calibri"/>
        <color rgb="FF000000"/>
        <sz val="8.0"/>
      </rPr>
      <t>BULAN</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BPR/BPRS</t>
    </r>
    <r>
      <rPr>
        <rFont val="Times New Roman"/>
        <color rgb="FF000000"/>
        <sz val="8.0"/>
      </rPr>
      <t xml:space="preserve"> </t>
    </r>
    <r>
      <rPr>
        <rFont val="Calibri"/>
        <color rgb="FF000000"/>
        <sz val="8.0"/>
      </rPr>
      <t>MELAKUKAN</t>
    </r>
    <r>
      <rPr>
        <rFont val="Times New Roman"/>
        <color rgb="FF000000"/>
        <sz val="8.0"/>
      </rPr>
      <t xml:space="preserve"> </t>
    </r>
    <r>
      <rPr>
        <rFont val="Calibri"/>
        <color rgb="FF000000"/>
        <sz val="8.0"/>
      </rPr>
      <t xml:space="preserve">KEGIATAN
</t>
    </r>
    <r>
      <rPr>
        <rFont val="Calibri"/>
        <color rgb="FF000000"/>
        <sz val="8.0"/>
      </rPr>
      <t>OPERASIONAL.</t>
    </r>
  </si>
  <si>
    <r>
      <rPr>
        <rFont val="Calibri"/>
        <color rgb="FF000000"/>
        <sz val="8.0"/>
      </rPr>
      <t>POJK</t>
    </r>
    <r>
      <rPr>
        <rFont val="Times New Roman"/>
        <color rgb="FF000000"/>
        <sz val="8.0"/>
      </rPr>
      <t xml:space="preserve"> </t>
    </r>
    <r>
      <rPr>
        <rFont val="Calibri"/>
        <color rgb="FF000000"/>
        <sz val="8.0"/>
      </rPr>
      <t>23</t>
    </r>
    <r>
      <rPr>
        <rFont val="Times New Roman"/>
        <color rgb="FF000000"/>
        <sz val="8.0"/>
      </rPr>
      <t xml:space="preserve"> </t>
    </r>
    <r>
      <rPr>
        <rFont val="Calibri"/>
        <color rgb="FF000000"/>
        <sz val="8.0"/>
      </rPr>
      <t>TAHUN</t>
    </r>
    <r>
      <rPr>
        <rFont val="Times New Roman"/>
        <color rgb="FF000000"/>
        <sz val="8.0"/>
      </rPr>
      <t xml:space="preserve"> </t>
    </r>
    <r>
      <rPr>
        <rFont val="Calibri"/>
        <color rgb="FF000000"/>
        <sz val="8.0"/>
      </rPr>
      <t>2024</t>
    </r>
  </si>
  <si>
    <t>POJK 23 - 2024.pdf</t>
  </si>
  <si>
    <t>LAPORAN PELAKSANAAN PENGGABUNGAN,  PELEBURAN, DAN PENGAMBILALIHAN</t>
  </si>
  <si>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</si>
  <si>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t>PALING LAMA 10 H K SETELAH TANGGAL PENGUMUMAN</t>
  </si>
  <si>
    <t>POJK NO 7 TAHUN 2024 TENTANG BANK PEREKONOMIAN RAKYAT DAN BANK PEREKONOMIAN RAKYAT SYARIAH
BAB VII mengenai PENGGABUNGAN, PELEBURAN, DAN PENGAMBILALIHAN</t>
  </si>
  <si>
    <t>POJK 7 Tahun 2024 Bank Perekonomian Rakyat dan Bank Perekonomian Rakyat Syariah (1).pdf</t>
  </si>
  <si>
    <t>LAPORAN HASIL PERUBAHAN IZIN USAHA DARI BUK/BUS MENJADI BPR/BPRS</t>
  </si>
  <si>
    <r>
      <rPr>
        <rFont val="Calibri"/>
        <color rgb="FF000000"/>
        <sz val="8.0"/>
      </rPr>
      <t>OJK</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ONLINE</t>
    </r>
    <r>
      <rPr>
        <rFont val="Times New Roman"/>
        <color rgb="FF000000"/>
        <sz val="8.0"/>
      </rPr>
      <t xml:space="preserve"> </t>
    </r>
    <r>
      <rPr>
        <rFont val="Calibri"/>
        <color rgb="FF000000"/>
        <sz val="8.0"/>
      </rPr>
      <t>(APOLO)</t>
    </r>
  </si>
  <si>
    <t>PALING LAMA 10 H K SETELAH TANGGAL SURAT PERSETUJUAN PERUBAHAN ANGGARAN  DASAR DARI INSTANSI YANG BERWENANG</t>
  </si>
  <si>
    <t>POJK NO 7 TAHUN 2024 TENTANG BANK PEREKONOMIAN RAKYAT DAN BANK PEREKONOMIAN RAKYAT SYARIAH
Bagian Ketiga Perubahan Izin Usaha BUK atau BUS Menjadi BPR atau BPR Syariah</t>
  </si>
  <si>
    <t>LAPORAN PERUBAHAN PEMILIK , ANGGOTA DIREKSI, ANGGOTA DEWAN KOMISARIS, ATAU PENGURUS DARI PSP BERBENTUK BADAN HUKUM</t>
  </si>
  <si>
    <t>OJK / ONLINE (SIJINGGA)</t>
  </si>
  <si>
    <t>PALING LAMA 1 BULAN SETELAH TERJADINYA PERUBAHAN</t>
  </si>
  <si>
    <t>POJK NO 7 TAHUN 2024 TENTANG BANK PEREKONOMIAN RAKYAT DAN BANK PEREKONOMIAN RAKYAT SYARIAH Pasal 34</t>
  </si>
  <si>
    <t>LAPORAN PENAMBAHAN  MODAL DISETOR DAN/ATAU PERUBAHAN KEPEMILIKAN SAHAM YANG TIDAK MENGAKIBATKAN  PERUBAHAN PSP</t>
  </si>
  <si>
    <t>PALING LAMA 10 HK SETELAH TANGGAL SURAT PENERIMAAN PEMBERITAHUAN PERUBAHAN DATA DARI INSTANSI YANG BERWENANG.</t>
  </si>
  <si>
    <t xml:space="preserve">POJK NO 7 TAHUN 2024 TENTANG BANK PEREKONOMIAN RAKYAT DAN BANK PEREKONOMIAN RAKYAT SYARIAH Bagian Kedua Penambahan Modal Disetor dan/atau Perubahan Kepemilikan Saham yang Mengakibatkan Perubahan PSP Pasal 37
</t>
  </si>
  <si>
    <t>LAPORAN  RENCANA  PERUBAHAN  STRUKTUR  KELOMPOK  USAHA  YANG TERKAIT DENGAN  BANK  TERMASUK  BADAN  HUKUM PEMILIK  BANK SAMPAI  DENGAN ULTIMATE SHAREHOLDERS</t>
  </si>
  <si>
    <t>PALING LAMBAT 1 BULAN SEBELUM TERJADINYA PERUBAHAN.</t>
  </si>
  <si>
    <t>LAPORAN PELAKSANAAN PERUBAHAN KEPEMILIKAN SAHAM YANG MENGAKIBATKAN PERUBAHAN PSP</t>
  </si>
  <si>
    <t>PALING LAMA 10 HK SETELAH TANGGAL SURAT PENERIMAAN PEMBERITAHUAN PERUBAHAN DATA DARI INSTANSI YANG BERWENANG</t>
  </si>
  <si>
    <t>LAPORAN PELAKSANAAN PENAMBAHAN MODAL DISETOR YANG MENGAKIBATKAN PERUBAHAN PSP</t>
  </si>
  <si>
    <t>PALING LAMA 10 HK SETELAH TAN GGAL SURAT PENERIMAAN PEMBERITAHUAN PERUBAHAN DATA DARI INSTANSI YANG BERWENANG</t>
  </si>
  <si>
    <t>LAPORAN PERUBAHAN MODAL DASAR</t>
  </si>
  <si>
    <t>PALING LAMA 10 HK SETELAH TANGGAL SURAT PERSETUJUAN PERUBAHAN ANGGARAN DASAR DARI INSTANSI YANG BERWENANG</t>
  </si>
  <si>
    <t xml:space="preserve">POJK NO 7 TAHUN 2024 TENTANG BANK PEREKONOMIAN RAKYAT DAN BANK PEREKONOMIAN RAKYAT SYARIAH Bagian Keempat Perubahan Modal Dasar Pasal 42
</t>
  </si>
  <si>
    <t>LAPORAN PENGALIHAN KEPEMILIKAN SAHAM BAGI PIHAK UTAMA YANG DILARANG MENJADI PIHAK UTAMA PENGENDALI ATAU MEMILIKI SAHAM</t>
  </si>
  <si>
    <t>POJK NO 7 TAHUN 2024 TENTANG BANK PEREKONOMIAN RAKYAT DAN BANK PEREKONOMIAN RAKYAT SYARIAH Bagian kedua Penambahan Modal Disetor dan/atau Perubahan Kepemilikan Saham yang Mengakibatkan Perubahan PSP Pasal 38</t>
  </si>
  <si>
    <t>LAPORAN PENGALIHAN KEPEMILIK AN SAHAM BAGI CALON PSP YANG TIDAK DISETUJUI OLEH OJK NAMUN TELAH MEMILIKI SAHAM LJK</t>
  </si>
  <si>
    <t>PALING LAMA 10 HK SETELAH TAN GGAL SURAT PENERIMAAN PEMBERITAHUAN PERUBAHAN DATA DARI INSTANSI YANG BERWENANG.</t>
  </si>
  <si>
    <t>POJK NO 7 TAHUN 2024 TENTANG BANK PEREKONOMIAN RAKYAT DAN BANK PEREKONOMIAN RAKYAT SYARIAH, pada pasal 40 dan 41</t>
  </si>
  <si>
    <t>LAPORAN RUPS PEMBATALAN PENGANGKATAN CALON ANGGOTA DIREKSI DAN/ATAU CALON ANGGOTA DEWAN KOMISARIS</t>
  </si>
  <si>
    <t>PALING LAMBAT 7 HK SETELAH RUPS PEMBATALAN PENGANGKATAN ANGGOTA D IREKSI ATAU CALON ANGGOTA DEWAN KOMISARIS.</t>
  </si>
  <si>
    <t xml:space="preserve">SEOJK 23/SEOJK.05/2023, POJK No. 33/POJK.04/2014 </t>
  </si>
  <si>
    <t>POJK 33 - 2014.pdf SEOJK 23 - 2023.pdf</t>
  </si>
  <si>
    <t>LAPORAN PENGKINIAN DATA DAN INFORMASI DOMISILI DARI PIH AK UTAMA DAN/ATAU PIHAK YANG DAPAT DIHUBUNGI</t>
  </si>
  <si>
    <t>DALAM HAL TERDAPAT PERUBAHAN DATA DAN INFORMASI DOMISILI, LJK MENYAMPAIKAN DATA DAN INFORMASI KEPADA OTORITAS JASA KEUANGAN</t>
  </si>
  <si>
    <t>POJK 14/POJK.03/2021</t>
  </si>
  <si>
    <t>POJK 14 - 2021.pdf</t>
  </si>
  <si>
    <t>LAPORAN TINDAK LANJUT PEMBERHENTIAN PIHAK UTAMA YANG DILARANG MENJADI PIHAK UTAMA PENGURUS DAN/ATAU PIHAK UTAMA PEJABAT</t>
  </si>
  <si>
    <t>PALING LAMBAT 10 HK SEJAK TANGGAL PENYELENGGARAAN RUPS PEMBERHENTIAN PIHAK UTAMA PENGURUS DAN/ATAU TANGGAL PEMBERHENTIAN PIHAK UTAMA PEJABAT</t>
  </si>
  <si>
    <t>POJK No. 7 tahun 2024, pada pasal 52</t>
  </si>
  <si>
    <t>LAPORAN PELAKSANAAN KEGIATAN USAHA (BPR/BPRS BARU BERDIRI)</t>
  </si>
  <si>
    <t>PALING LAMA 10 HK SETELAH TANGGAL PELAKSANAAN KEGIATAN USAHA.</t>
  </si>
  <si>
    <t xml:space="preserve">POJK No. 7 Tahun 2024, POJK No. 23 Tahun 2024 </t>
  </si>
  <si>
    <t>POJK 7 Tahun 2024 Bank Perekonomian Rakyat dan Bank Perekonomian Rakyat Syariah (1).pdf POJK 23 - 2024.pdf</t>
  </si>
  <si>
    <t>LAPORAN PELAKSANAAN KEGIATAN USAHA SEBAGAI BPR/BPRS (HASIL TRANSFORMASI LKM)</t>
  </si>
  <si>
    <t>PALING LAMBAT 10 HK SEJAK TANGGAL PELAKSANAAN KEGIATAN USAHA.</t>
  </si>
  <si>
    <t>LAPORAN REALISASI PENYELENGGARAAN PRODUK LANJUTAN BARU</t>
  </si>
  <si>
    <t>PALING LAMA 10 HK SETELAH TANGGAL PENYELENGGARAAN PRODUK LANJUTAN</t>
  </si>
  <si>
    <t>POJK No. 13/POJK.03/2021</t>
  </si>
  <si>
    <t>POJK 13 - 2021.pdf</t>
  </si>
  <si>
    <t>LAPORAN REALISASI PENYELENGGARAAN LAKU PANDAI</t>
  </si>
  <si>
    <t>PALING LAMA 10 HK SETELAH PENYELENGGARAAN LAKU PANDAI.</t>
  </si>
  <si>
    <t>Pasal 35 POJK No. 1/POJK.03/2022</t>
  </si>
  <si>
    <t>POJK 1 - 2022.pdf</t>
  </si>
  <si>
    <t>LAPORAN REALISASI PENGHENTIAN PRODUK ATAS PERINTAH OJK</t>
  </si>
  <si>
    <t>DITETAPKAN OLEH OTORITAS JASA KEUANGAN.</t>
  </si>
  <si>
    <t>LAPORAN RENCANA PELAKSANAAN PROYEK UJI COBA TERBATAS</t>
  </si>
  <si>
    <t>PALING LAMA 10 HK SEBELUM PELAKSAN AAN PROYEK UJI COBA TERBATAS KEPADA OTORITAS JASA KEUANGAN.</t>
  </si>
  <si>
    <t>LAPORAN REALISASI PENYELENGGARAAN PRODUK DASAR BARU</t>
  </si>
  <si>
    <t>PALING LAMA 10 HK SETELAH TANGGAL PENYELENGGARAAN PRODUK DASAR
 BARU.</t>
  </si>
  <si>
    <t>POJK No. 25/POJK.03/2021</t>
  </si>
  <si>
    <t>pojk 25 - 2021.pdf</t>
  </si>
  <si>
    <t>LAPORAN REALISASI KERJA SAMA DENGAN PENYEDIA JASA TEKNOLOGI INFORMASI</t>
  </si>
  <si>
    <t>PALING LAMBAT 10 HK SEJAK PENYELENGGARAAN TEKNOLOGI INFORMASI BPR ATAU BPRS OLEH PENYEDIA JASA TEKNOLOGI INFORMASI EFEKTIF BEROPERASI.</t>
  </si>
  <si>
    <t>POJK No. 75/POJK.03/2016</t>
  </si>
  <si>
    <t>LAPORAN PERUBAHAN PERJANJIAN KERJA SAMA BPR/BPRS YANG
 MELAKUKAN SINERGI</t>
  </si>
  <si>
    <t>PALING LAMA 5 HK SETELAH TANGGAL PERUBAHAN PERJANJIAN KERJA SAMA</t>
  </si>
  <si>
    <t>POJK No. 7 tahun 2024</t>
  </si>
  <si>
    <t>LAPORAN PELAKSANAAN SINERGI BPR/BPRS</t>
  </si>
  <si>
    <t>PALING LAMA 5 HK SETELAH TANGGAL PERJANJIAN KERJA SAMA.</t>
  </si>
  <si>
    <t>LAPORAN PENGHENTIAN KERJA SAMA BPR/BPRS YANG MELAKUKAN
 SINERGI</t>
  </si>
  <si>
    <t>PALING LAMA 30 HK SEBELUM TANGGAL EFEKTIF PENGHENTIAN PERJANJIAN
 KERJA SAMA.</t>
  </si>
  <si>
    <t xml:space="preserve"> Pasal 139 Ayat (4) POJK No. 7 Tahun 2024</t>
  </si>
  <si>
    <t>LAPORAN PENGHENTIAN KERJA SAMA DENGAN PENYEDIA JASA TI</t>
  </si>
  <si>
    <t>PALING LAMBAT 10 (SEPULUH) HARI KERJA SEJAK PENGHENTIAN KERJA SAMA</t>
  </si>
  <si>
    <t xml:space="preserve">POJK Nomor 11/POJK.03/2022 </t>
  </si>
  <si>
    <t>POJK 11 - 2022.pdf</t>
  </si>
  <si>
    <t>LAPORAN RENCANA TINDAK UNTUK PENYELESAIAN PELANGGARAN BMPK/BMPD</t>
  </si>
  <si>
    <t>- 20 HK SETELAH BATAS AKH IR PENYAMPAIAN LAPORAN BMPK ATAU BMPD BU LAN YANG BERSANGKUTAN; ATAU
 - 10 HK SEJAK OTORITAS JASA KEUANGAN MENETAPKAN PELANGGARAN BMPK</t>
  </si>
  <si>
    <t>POJK No. 23/POJK.03/2022</t>
  </si>
  <si>
    <t>POJK 23 - 2022.pdf</t>
  </si>
  <si>
    <t>LAPORAN RENCANA TINDAK UNTUK PENYELESAIAN PELAMPAUAN BMPK/BMPD</t>
  </si>
  <si>
    <t>- PASAL 15 AYAT (3) YANG DISEBABKAN KARENA HAL SEBAGAIMANA DIMAKSUD DALAM PASAL 14 AYAT (1) HURUF A DAN HURUF B. WAJIB DISAMPAIKAN KEPADA OTORITAS JASA KEUANGAN PALING LAMA:
 A. 20 HK SETELAH AKHIR BULAN LAPORAN B MPK ATAU B MPD BULAN YANG BERSANGKUTAN;
 B. 10 HK SEJAK OTORITAS JASA KEUANGAN MENETAPKAN PELAMPAUAN BMPK ATAU BMPD.
 -PASAL 15 AYAT (4) YANG DISEBABKAN KARENA HAL SEBAGAIMANA DIMAKSUD</t>
  </si>
  <si>
    <t>LAPORAN RENCANA TINDAK BPR YANG DALAM PENGAWASAN NORMAL YANG MENGALAMI KESULITAN YANG MEMBAHAYAKAN KELANGSUNGAN USAHANYA</t>
  </si>
  <si>
    <t>PALING LAMA 14 HK SEJAK TANGGAL PERMINTAAN OTORITAS JASA KEUANGAN.</t>
  </si>
  <si>
    <t>POJK Nomor 28 Tahun 2023</t>
  </si>
  <si>
    <t>POJK 28 -2023.pdf</t>
  </si>
  <si>
    <t>LAPORAN RENCANA TINDAK BPR/BPRS DALAM PENYEHATAN</t>
  </si>
  <si>
    <t>PALING LAMA 10 HK SEJAK BPR ATAU BPR SYARIAH DITETAPKAN DALAM</t>
  </si>
  <si>
    <t>LAPORAN RENCANA TINDAK TINGKAT KESEHATAN</t>
  </si>
  <si>
    <t>PALING LAMA 14 HK SETELAH TANGGAL PERMINTAAN OTORITAS JASA KEUANGAN, UNTUK RENCANA TINDAK YANG MERUPAKAN TINDAK LAN JUT DARI HASIL PENILAIAN TINGKAT KESEHATAN BPR DAN BPRS OLEH OTORITAS JASA</t>
  </si>
  <si>
    <t>LAPORAN RENCANA TIN DAK DALAM RANGKA UPAYA PERBAIK AN KERJA SAMA DENGAN PENYEDIA JASA TEKNOLOGI INFORMASI</t>
  </si>
  <si>
    <t>PALING LAMBAT 20 HK SEJAK TANGGAL PERMINTAAN OTORITAS JASA KEUANGAN SEBAGAIMANA DIMAKSUD PADA AYAT (1) DITERIMA.</t>
  </si>
  <si>
    <t>LAPORAN RENCANA TINDAK PENGHENTIAN PRODUK ATAS PERINTAH OJK</t>
  </si>
  <si>
    <t>LAPORAN RENCANA TINDAK ATAS PELAMPAUAN BATASAN PENYERTAAN MODAL</t>
  </si>
  <si>
    <t>PALING LAMBAT PADA AKHIR BULAN KEEMPAT SEJAK TERJADINYA PELAMPAUAN BATASAN PENYERTAAN MODAL BPR ATAU BPR SYARIAH.</t>
  </si>
  <si>
    <t>LAPORAN RENCANA PELAKSANAAN DIVESTASI</t>
  </si>
  <si>
    <t>PALING LAMA 7 HK SEBELUM DIVESTASI BPR DILAKUKAN.</t>
  </si>
  <si>
    <t>POJK Nomor 26 Tahun 2024</t>
  </si>
  <si>
    <t>POJK 26 - 2024.pdf</t>
  </si>
  <si>
    <t>LAPORAN RENCANA TINDAK ATAS PERINTAH TERTULIS</t>
  </si>
  <si>
    <t>DITETAPKAN OLEH OTORITAS JASA KEUANGAN</t>
  </si>
  <si>
    <t>LAPORAN PELAKSANAAN RENCANA TINDAK BMPK/BMPD</t>
  </si>
  <si>
    <t>PALING LAMA 10 HK SEJAK REALISASI RENCANA TINDAK.</t>
  </si>
  <si>
    <t>POJK Nomor 23 Tahun 2022</t>
  </si>
  <si>
    <t>LAPORAN REALISASI PELAKSANAAN RENCANA TIN DAK BUK/BUS MENJADI BPR/BPRS</t>
  </si>
  <si>
    <t>SETIAP BULAN PALING LAMA 10 HK BULAN BERIKUTNYA.</t>
  </si>
  <si>
    <t>POJK Nomor 7 Tahun 2024</t>
  </si>
  <si>
    <t>LAPORAN SELURUH REALISASI PELAKSANAAN RENCANA TINDAK BUK/BUS MENJADI BPR/BPRS</t>
  </si>
  <si>
    <t>PALING LAMA 1 BULAN SEJAK BERAKHIRNYA JANGKA WAKTU PENYESUAIAN SELURUH BENTUK DAN KEGIATAN USAHA MENJADI BPR/BPRS</t>
  </si>
  <si>
    <t>LAPORAN REALISASI RENCANA TINDAK BPR/BPRS YANG DALAM PENGAWASAN NORMAL YANG MENGALAMI KESULITAN YANG MEMBAHAYAKAN KELANGSUNGAN USAHANYA</t>
  </si>
  <si>
    <t>PALING LAMA 10 HK SETELAH PELAKSANAAN RENCANA TINDAK.</t>
  </si>
  <si>
    <t>LAPORAN REALISASI RENCANA TINDAK BPR/BPRS DALAM PENYEHATAN</t>
  </si>
  <si>
    <t>PALING LAMA 10 HK BULAN BERIKUTNYA.</t>
  </si>
  <si>
    <t>LAPORAN REALISASI RENCANA TINDAK TINGKAT KESEHATAN</t>
  </si>
  <si>
    <t>PALING LAMA 10 HK SETELAH PELAKSANAAN RENCANA TINDAK ATAU PALING LAMA 10 HK SETELAH PELAKSANAAN SETIAP TAHAPAN, DALAM HAL PELAKSANAAN RENCANA TINDAK DILAKUKAN SECARA BERTAHAP</t>
  </si>
  <si>
    <t>LAPORAN TINDAK LANJUT YANG TELAH DAN/ATAU AKAN DIAMBIL SETELAH PENYAMPAIAN LAPORAN RENCANA TINDAK TINDAKAN TERTENTU TERKAIT KERJA SAMA DENGAN PENYEDIA TEKNOLOGI INFORMASI</t>
  </si>
  <si>
    <t>PALING LAMBAT 10 HK SEJAK TANGGAL LAPORAN KONDISI TERTENTU.</t>
  </si>
  <si>
    <t>SEOJK Nomor 1/SEOJK.03/2019,  POJK Nomor 13/POJK.03/2018</t>
  </si>
  <si>
    <t>SEOJK 1 - 2019.pdf pojk 13-2018.pdf</t>
  </si>
  <si>
    <t>TINDAK LANJUT PENGAWASAN</t>
  </si>
  <si>
    <t>BERDASARKAN SURAT PENETAPAN OJK.</t>
  </si>
  <si>
    <t>LAPORAN REALISASI PENGHENTIAN PRODUK ATAS INISIATIF BPR/BPRS</t>
  </si>
  <si>
    <t>PALING LAMA 10 HK SETELAH TANGGAL PENGHENTIAN.</t>
  </si>
  <si>
    <t>LAPORAN REALISASI PENYERTAAN MODAL</t>
  </si>
  <si>
    <t>PALING LAMA 10 HK SETELAH PENYERTAAN MODAL BPR ATAU BPR SYARIAH</t>
  </si>
  <si>
    <t>LAPORAN REALISASI DIVESTASI</t>
  </si>
  <si>
    <t>PALING LAMA 10 HK SETELAH PELAKSANAAN DIVESTASI</t>
  </si>
  <si>
    <t>LAPORAN PERKEMBANGAN PELAKSANAAN RENCANA TINDAK ATAS
 PERINTAH TERTULIS</t>
  </si>
  <si>
    <t>LAPORAN PEMENUHAN PERINTAH TERTULIS</t>
  </si>
  <si>
    <t>PALING LAMBAT 2 HK SETELAH DIPENUH INYA PERINTAH TERTULIS YANG DIBERIKAN OTORITAS JASA KEUANGAN.</t>
  </si>
  <si>
    <t>LAPORAN PELANGGARAN PERATURAN DI BIDANG KEUANGAN DAN PERBANKAN DAN/ATAU KEADAAN YANG MEMBAHAYAKAN KELANGSUNGAN USAHA BPR/BPRS</t>
  </si>
  <si>
    <t>PALING LAMA 10 HK SEJAK DITEMUKANNYA PELANGGARAN DAN/ATAU KEADAAN ATAU PERKIRAAN KEADAAN DIMAKSUD</t>
  </si>
  <si>
    <t>POJK Nomor 28 Tahun 2023, POJK Nomor 1/POJK.03/2016</t>
  </si>
  <si>
    <t>POJK 28 -2023.pdf POJK 1-2016.pdf</t>
  </si>
  <si>
    <t>LAPORAN KHUSUS MENGENAI KEBIJAKAN DAN/ATAU KEPUTUSAN DIREKSI YANG MENURUT PENDAPAT ANGGOTA DIREKSI YANG MEMBAWAHKAN FUNGSI KEPATUHAN TE LAH MENYIMPANG DARI PERATURAN OJK DAN/ATAU PERATURAN PERUNDANG-UNDANGAN LAIN</t>
  </si>
  <si>
    <t>PALING LAMA 10 HK SEJAK DITEMUKANNYA PENYIMPANGAN.</t>
  </si>
  <si>
    <t>LAPORAN KHUSUS MENGENAI SETIAP TEMUAN AUDIT IN TERN YANG DIPERKIRAKAN DAPAT MEMBAHAYAKAN KELANGSUNGAN USAHA BPR/BPRS</t>
  </si>
  <si>
    <t>PALING LAMA 10 HK SEJAK TEMUAN AUDIT DIKETAHUI.</t>
  </si>
  <si>
    <t>LAPORAN KEJADIAN KRITIS, PENYALAHGUNAAN, DAN/ATAU KEJAHATAN DALAM PENYELENGGARAAN TEKNOLOGI INFORMASI YANG DAPAT ATAU TELAH MENGAKIBATKAN KERUGIAN KEUANGAN YANG SIGNIF IKAN DAN/ATAU MENGGANGGU KELANCARAN OPERASIONAL</t>
  </si>
  <si>
    <t>PALING LAMBAT 1 HARI SETELAH KEJADIAN KRITIS, PENYALAH GUNAAN DAN/ATAU KEJAHATAN DIKETAHUI, YANG DIIKUTI DENGAN LAPORAN TERTULIS PALING LAMBAT 7 (TUJUH) HARI KERJA SEJAK KEJADIAN KRITIS, PENYALAHGUNAAN DAN/ATAU KEJAHATAN DIKETAHUI.</t>
  </si>
  <si>
    <t>POJK Nomor 38 Tahun 2016</t>
  </si>
  <si>
    <t>POJK 38 - 2016.pdf</t>
  </si>
  <si>
    <t>LAPORAN TINDAKAN TERTENTU DALAM HAL MEMENUHI KONDISI SESUAI POJK SPTI</t>
  </si>
  <si>
    <t>PALING LAMBAT 3 HK SEJAK KONDISI DIKETAHUI OLEH BPR;</t>
  </si>
  <si>
    <t>LAPORAN RENCANA BPR/BPRS UNTUK MELAKUKAN KEGIATAN OPERASIONAL DI LUAR HARI KERJA OPERASIONAL DAN/ATAU PADA HARI LIBUR</t>
  </si>
  <si>
    <t>PALING LAMA 5 HK SEBELUM PELAKSANAAN KEGIATAN OPERASIONAL DISERTAI BUKTI PENGUMUMAN.</t>
  </si>
  <si>
    <t>POJK Nomor 24/POJK.03/2016</t>
  </si>
  <si>
    <t>POJK 24 - 2016.pdf</t>
  </si>
  <si>
    <r>
      <rPr>
        <rFont val="Calibri"/>
        <color rgb="FF000000"/>
        <sz val="8.0"/>
      </rPr>
      <t>LAPORAN</t>
    </r>
    <r>
      <rPr>
        <rFont val="Times New Roman"/>
        <color rgb="FF000000"/>
        <sz val="8.0"/>
      </rPr>
      <t xml:space="preserve"> </t>
    </r>
    <r>
      <rPr>
        <rFont val="Calibri"/>
        <color rgb="FF000000"/>
        <sz val="8.0"/>
      </rPr>
      <t>RENCANA</t>
    </r>
    <r>
      <rPr>
        <rFont val="Times New Roman"/>
        <color rgb="FF000000"/>
        <sz val="8.0"/>
      </rPr>
      <t xml:space="preserve"> </t>
    </r>
    <r>
      <rPr>
        <rFont val="Calibri"/>
        <color rgb="FF000000"/>
        <sz val="8.0"/>
      </rPr>
      <t>PENUTUPAN</t>
    </r>
    <r>
      <rPr>
        <rFont val="Times New Roman"/>
        <color rgb="FF000000"/>
        <sz val="8.0"/>
      </rPr>
      <t xml:space="preserve"> </t>
    </r>
    <r>
      <rPr>
        <rFont val="Calibri"/>
        <color rgb="FF000000"/>
        <sz val="8.0"/>
      </rPr>
      <t>SEMENTARA</t>
    </r>
    <r>
      <rPr>
        <rFont val="Times New Roman"/>
        <color rgb="FF000000"/>
        <sz val="8.0"/>
      </rPr>
      <t xml:space="preserve"> </t>
    </r>
    <r>
      <rPr>
        <rFont val="Calibri"/>
        <color rgb="FF000000"/>
        <sz val="8.0"/>
      </rPr>
      <t>KANTOR</t>
    </r>
    <r>
      <rPr>
        <rFont val="Times New Roman"/>
        <color rgb="FF000000"/>
        <sz val="8.0"/>
      </rPr>
      <t xml:space="preserve"> </t>
    </r>
    <r>
      <rPr>
        <rFont val="Calibri"/>
        <color rgb="FF000000"/>
        <sz val="8.0"/>
      </rPr>
      <t>BPR/BPRS</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</si>
  <si>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5</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SEBELUM</t>
    </r>
    <r>
      <rPr>
        <rFont val="Times New Roman"/>
        <color rgb="FF000000"/>
        <sz val="8.0"/>
      </rPr>
      <t xml:space="preserve"> </t>
    </r>
    <r>
      <rPr>
        <rFont val="Calibri"/>
        <color rgb="FF000000"/>
        <sz val="8.0"/>
      </rPr>
      <t>PELAKSAN</t>
    </r>
    <r>
      <rPr>
        <rFont val="Times New Roman"/>
        <color rgb="FF000000"/>
        <sz val="8.0"/>
      </rPr>
      <t xml:space="preserve"> </t>
    </r>
    <r>
      <rPr>
        <rFont val="Calibri"/>
        <color rgb="FF000000"/>
        <sz val="8.0"/>
      </rPr>
      <t>AAN</t>
    </r>
    <r>
      <rPr>
        <rFont val="Times New Roman"/>
        <color rgb="FF000000"/>
        <sz val="8.0"/>
      </rPr>
      <t xml:space="preserve"> </t>
    </r>
    <r>
      <rPr>
        <rFont val="Calibri"/>
        <color rgb="FF000000"/>
        <sz val="8.0"/>
      </rPr>
      <t>PENUTUPAN</t>
    </r>
    <r>
      <rPr>
        <rFont val="Times New Roman"/>
        <color rgb="FF000000"/>
        <sz val="8.0"/>
      </rPr>
      <t xml:space="preserve"> </t>
    </r>
    <r>
      <rPr>
        <rFont val="Calibri"/>
        <color rgb="FF000000"/>
        <sz val="8.0"/>
      </rPr>
      <t>SEMENTARA</t>
    </r>
    <r>
      <rPr>
        <rFont val="Times New Roman"/>
        <color rgb="FF000000"/>
        <sz val="8.0"/>
      </rPr>
      <t xml:space="preserve"> </t>
    </r>
    <r>
      <rPr>
        <rFont val="Calibri"/>
        <color rgb="FF000000"/>
        <sz val="8.0"/>
      </rPr>
      <t>DISERTAI</t>
    </r>
    <r>
      <rPr>
        <rFont val="Times New Roman"/>
        <color rgb="FF000000"/>
        <sz val="8.0"/>
      </rPr>
      <t xml:space="preserve"> </t>
    </r>
    <r>
      <rPr>
        <rFont val="Calibri"/>
        <color rgb="FF000000"/>
        <sz val="8.0"/>
      </rPr>
      <t>ALASAN</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BUKTI</t>
    </r>
    <r>
      <rPr>
        <rFont val="Times New Roman"/>
        <color rgb="FF000000"/>
        <sz val="8.0"/>
      </rPr>
      <t xml:space="preserve"> </t>
    </r>
    <r>
      <rPr>
        <rFont val="Calibri"/>
        <color rgb="FF000000"/>
        <sz val="8.0"/>
      </rPr>
      <t>PENGUMUMAN.</t>
    </r>
  </si>
  <si>
    <r>
      <rPr>
        <rFont val="Calibri"/>
        <color rgb="FF000000"/>
        <sz val="8.0"/>
      </rPr>
      <t>LAPORAN</t>
    </r>
    <r>
      <rPr>
        <rFont val="Times New Roman"/>
        <color rgb="FF000000"/>
        <sz val="8.0"/>
      </rPr>
      <t xml:space="preserve"> </t>
    </r>
    <r>
      <rPr>
        <rFont val="Calibri"/>
        <color rgb="FF000000"/>
        <sz val="8.0"/>
      </rPr>
      <t>PENUTUPAN</t>
    </r>
    <r>
      <rPr>
        <rFont val="Times New Roman"/>
        <color rgb="FF000000"/>
        <sz val="8.0"/>
      </rPr>
      <t xml:space="preserve"> </t>
    </r>
    <r>
      <rPr>
        <rFont val="Calibri"/>
        <color rgb="FF000000"/>
        <sz val="8.0"/>
      </rPr>
      <t>SEMENTARA</t>
    </r>
    <r>
      <rPr>
        <rFont val="Times New Roman"/>
        <color rgb="FF000000"/>
        <sz val="8.0"/>
      </rPr>
      <t xml:space="preserve"> </t>
    </r>
    <r>
      <rPr>
        <rFont val="Calibri"/>
        <color rgb="FF000000"/>
        <sz val="8.0"/>
      </rPr>
      <t>KANTOR</t>
    </r>
    <r>
      <rPr>
        <rFont val="Times New Roman"/>
        <color rgb="FF000000"/>
        <sz val="8.0"/>
      </rPr>
      <t xml:space="preserve"> </t>
    </r>
    <r>
      <rPr>
        <rFont val="Calibri"/>
        <color rgb="FF000000"/>
        <sz val="8.0"/>
      </rPr>
      <t>KARENA</t>
    </r>
    <r>
      <rPr>
        <rFont val="Times New Roman"/>
        <color rgb="FF000000"/>
        <sz val="8.0"/>
      </rPr>
      <t xml:space="preserve"> </t>
    </r>
    <r>
      <rPr>
        <rFont val="Calibri"/>
        <color rgb="FF000000"/>
        <sz val="8.0"/>
      </rPr>
      <t>KEADAAN</t>
    </r>
    <r>
      <rPr>
        <rFont val="Times New Roman"/>
        <color rgb="FF000000"/>
        <sz val="8.0"/>
      </rPr>
      <t xml:space="preserve"> </t>
    </r>
    <r>
      <rPr>
        <rFont val="Calibri"/>
        <color rgb="FF000000"/>
        <sz val="8.0"/>
      </rPr>
      <t>KAHAR</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</si>
  <si>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PENUTUPAN</t>
    </r>
    <r>
      <rPr>
        <rFont val="Times New Roman"/>
        <color rgb="FF000000"/>
        <sz val="8.0"/>
      </rPr>
      <t xml:space="preserve">  </t>
    </r>
    <r>
      <rPr>
        <rFont val="Calibri"/>
        <color rgb="FF000000"/>
        <sz val="8.0"/>
      </rPr>
      <t>SEMENTARA</t>
    </r>
    <r>
      <rPr>
        <rFont val="Times New Roman"/>
        <color rgb="FF000000"/>
        <sz val="8.0"/>
      </rPr>
      <t xml:space="preserve">  </t>
    </r>
    <r>
      <rPr>
        <rFont val="Calibri"/>
        <color rgb="FF000000"/>
        <sz val="8.0"/>
      </rPr>
      <t>DISERTAI</t>
    </r>
    <r>
      <rPr>
        <rFont val="Times New Roman"/>
        <color rgb="FF000000"/>
        <sz val="8.0"/>
      </rPr>
      <t xml:space="preserve">  </t>
    </r>
    <r>
      <rPr>
        <rFont val="Calibri"/>
        <color rgb="FF000000"/>
        <sz val="8.0"/>
      </rPr>
      <t>ALASAN</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BUKTI</t>
    </r>
    <r>
      <rPr>
        <rFont val="Times New Roman"/>
        <color rgb="FF000000"/>
        <sz val="8.0"/>
      </rPr>
      <t xml:space="preserve"> </t>
    </r>
    <r>
      <rPr>
        <rFont val="Calibri"/>
        <color rgb="FF000000"/>
        <sz val="8.0"/>
      </rPr>
      <t>PENGUMUMAN.</t>
    </r>
  </si>
  <si>
    <r>
      <rPr>
        <rFont val="Calibri"/>
        <color rgb="FF000000"/>
        <sz val="8.0"/>
      </rPr>
      <t>LAPORAN</t>
    </r>
    <r>
      <rPr>
        <rFont val="Times New Roman"/>
        <color rgb="FF000000"/>
        <sz val="8.0"/>
      </rPr>
      <t xml:space="preserve"> </t>
    </r>
    <r>
      <rPr>
        <rFont val="Calibri"/>
        <color rgb="FF000000"/>
        <sz val="8.0"/>
      </rPr>
      <t>PELAKSANAAN</t>
    </r>
    <r>
      <rPr>
        <rFont val="Times New Roman"/>
        <color rgb="FF000000"/>
        <sz val="8.0"/>
      </rPr>
      <t xml:space="preserve"> </t>
    </r>
    <r>
      <rPr>
        <rFont val="Calibri"/>
        <color rgb="FF000000"/>
        <sz val="8.0"/>
      </rPr>
      <t>PEMINDAHAN</t>
    </r>
    <r>
      <rPr>
        <rFont val="Times New Roman"/>
        <color rgb="FF000000"/>
        <sz val="8.0"/>
      </rPr>
      <t xml:space="preserve"> </t>
    </r>
    <r>
      <rPr>
        <rFont val="Calibri"/>
        <color rgb="FF000000"/>
        <sz val="8.0"/>
      </rPr>
      <t>SEMENTARA</t>
    </r>
    <r>
      <rPr>
        <rFont val="Times New Roman"/>
        <color rgb="FF000000"/>
        <sz val="8.0"/>
      </rPr>
      <t xml:space="preserve"> </t>
    </r>
    <r>
      <rPr>
        <rFont val="Calibri"/>
        <color rgb="FF000000"/>
        <sz val="8.0"/>
      </rPr>
      <t>ALAMAT</t>
    </r>
    <r>
      <rPr>
        <rFont val="Times New Roman"/>
        <color rgb="FF000000"/>
        <sz val="8.0"/>
      </rPr>
      <t xml:space="preserve"> </t>
    </r>
    <r>
      <rPr>
        <rFont val="Calibri"/>
        <color rgb="FF000000"/>
        <sz val="8.0"/>
      </rPr>
      <t>KANTOR</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</si>
  <si>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DILAKUKAN</t>
    </r>
    <r>
      <rPr>
        <rFont val="Times New Roman"/>
        <color rgb="FF000000"/>
        <sz val="8.0"/>
      </rPr>
      <t xml:space="preserve">  </t>
    </r>
    <r>
      <rPr>
        <rFont val="Calibri"/>
        <color rgb="FF000000"/>
        <sz val="8.0"/>
      </rPr>
      <t>PEMINDAHAN</t>
    </r>
    <r>
      <rPr>
        <rFont val="Times New Roman"/>
        <color rgb="FF000000"/>
        <sz val="8.0"/>
      </rPr>
      <t xml:space="preserve"> </t>
    </r>
    <r>
      <rPr>
        <rFont val="Calibri"/>
        <color rgb="FF000000"/>
        <sz val="8.0"/>
      </rPr>
      <t>ALAMAT</t>
    </r>
    <r>
      <rPr>
        <rFont val="Times New Roman"/>
        <color rgb="FF000000"/>
        <sz val="8.0"/>
      </rPr>
      <t xml:space="preserve"> </t>
    </r>
    <r>
      <rPr>
        <rFont val="Calibri"/>
        <color rgb="FF000000"/>
        <sz val="8.0"/>
      </rPr>
      <t>KANTOR</t>
    </r>
  </si>
  <si>
    <r>
      <rPr>
        <rFont val="Calibri"/>
        <color rgb="FF000000"/>
        <sz val="8.0"/>
      </rPr>
      <t>LAPORAN</t>
    </r>
    <r>
      <rPr>
        <rFont val="Times New Roman"/>
        <color rgb="FF000000"/>
        <sz val="8.0"/>
      </rPr>
      <t xml:space="preserve"> </t>
    </r>
    <r>
      <rPr>
        <rFont val="Calibri"/>
        <color rgb="FF000000"/>
        <sz val="8.0"/>
      </rPr>
      <t>PEMINDAHAN</t>
    </r>
    <r>
      <rPr>
        <rFont val="Times New Roman"/>
        <color rgb="FF000000"/>
        <sz val="8.0"/>
      </rPr>
      <t xml:space="preserve"> </t>
    </r>
    <r>
      <rPr>
        <rFont val="Calibri"/>
        <color rgb="FF000000"/>
        <sz val="8.0"/>
      </rPr>
      <t>KEMBALI</t>
    </r>
    <r>
      <rPr>
        <rFont val="Times New Roman"/>
        <color rgb="FF000000"/>
        <sz val="8.0"/>
      </rPr>
      <t xml:space="preserve"> </t>
    </r>
    <r>
      <rPr>
        <rFont val="Calibri"/>
        <color rgb="FF000000"/>
        <sz val="8.0"/>
      </rPr>
      <t>JARINGAN</t>
    </r>
    <r>
      <rPr>
        <rFont val="Times New Roman"/>
        <color rgb="FF000000"/>
        <sz val="8.0"/>
      </rPr>
      <t xml:space="preserve"> </t>
    </r>
    <r>
      <rPr>
        <rFont val="Calibri"/>
        <color rgb="FF000000"/>
        <sz val="8.0"/>
      </rPr>
      <t>KANTOR</t>
    </r>
    <r>
      <rPr>
        <rFont val="Times New Roman"/>
        <color rgb="FF000000"/>
        <sz val="8.0"/>
      </rPr>
      <t xml:space="preserve"> </t>
    </r>
    <r>
      <rPr>
        <rFont val="Calibri"/>
        <color rgb="FF000000"/>
        <sz val="8.0"/>
      </rPr>
      <t>KE</t>
    </r>
    <r>
      <rPr>
        <rFont val="Times New Roman"/>
        <color rgb="FF000000"/>
        <sz val="8.0"/>
      </rPr>
      <t xml:space="preserve"> </t>
    </r>
    <r>
      <rPr>
        <rFont val="Calibri"/>
        <color rgb="FF000000"/>
        <sz val="8.0"/>
      </rPr>
      <t>LOKASI</t>
    </r>
    <r>
      <rPr>
        <rFont val="Times New Roman"/>
        <color rgb="FF000000"/>
        <sz val="8.0"/>
      </rPr>
      <t xml:space="preserve"> </t>
    </r>
    <r>
      <rPr>
        <rFont val="Calibri"/>
        <color rgb="FF000000"/>
        <sz val="8.0"/>
      </rPr>
      <t>SEMULA</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</si>
  <si>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5</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TANGGAL</t>
    </r>
    <r>
      <rPr>
        <rFont val="Times New Roman"/>
        <color rgb="FF000000"/>
        <sz val="8.0"/>
      </rPr>
      <t xml:space="preserve"> </t>
    </r>
    <r>
      <rPr>
        <rFont val="Calibri"/>
        <color rgb="FF000000"/>
        <sz val="8.0"/>
      </rPr>
      <t>PEMINDAHAN</t>
    </r>
  </si>
  <si>
    <r>
      <rPr>
        <rFont val="Calibri"/>
        <color rgb="FF000000"/>
        <sz val="8.0"/>
      </rPr>
      <t>BUKTI</t>
    </r>
    <r>
      <rPr>
        <rFont val="Times New Roman"/>
        <color rgb="FF000000"/>
        <sz val="8.0"/>
      </rPr>
      <t xml:space="preserve"> </t>
    </r>
    <r>
      <rPr>
        <rFont val="Calibri"/>
        <color rgb="FF000000"/>
        <sz val="8.0"/>
      </rPr>
      <t>PENGUMUMAN</t>
    </r>
    <r>
      <rPr>
        <rFont val="Times New Roman"/>
        <color rgb="FF000000"/>
        <sz val="8.0"/>
      </rPr>
      <t xml:space="preserve"> </t>
    </r>
    <r>
      <rPr>
        <rFont val="Calibri"/>
        <color rgb="FF000000"/>
        <sz val="8.0"/>
      </rPr>
      <t>LARANGAN</t>
    </r>
    <r>
      <rPr>
        <rFont val="Times New Roman"/>
        <color rgb="FF000000"/>
        <sz val="8.0"/>
      </rPr>
      <t xml:space="preserve"> </t>
    </r>
    <r>
      <rPr>
        <rFont val="Calibri"/>
        <color rgb="FF000000"/>
        <sz val="8.0"/>
      </rPr>
      <t>PENGHIMPUNAN</t>
    </r>
    <r>
      <rPr>
        <rFont val="Times New Roman"/>
        <color rgb="FF000000"/>
        <sz val="8.0"/>
      </rPr>
      <t xml:space="preserve"> </t>
    </r>
    <r>
      <rPr>
        <rFont val="Calibri"/>
        <color rgb="FF000000"/>
        <sz val="8.0"/>
      </rPr>
      <t>DAN/ATAU</t>
    </r>
    <r>
      <rPr>
        <rFont val="Times New Roman"/>
        <color rgb="FF000000"/>
        <sz val="8.0"/>
      </rPr>
      <t xml:space="preserve"> </t>
    </r>
    <r>
      <rPr>
        <rFont val="Calibri"/>
        <color rgb="FF000000"/>
        <sz val="8.0"/>
      </rPr>
      <t>PENYALURAN</t>
    </r>
    <r>
      <rPr>
        <rFont val="Times New Roman"/>
        <color rgb="FF000000"/>
        <sz val="8.0"/>
      </rPr>
      <t xml:space="preserve"> </t>
    </r>
    <r>
      <rPr>
        <rFont val="Calibri"/>
        <color rgb="FF000000"/>
        <sz val="8.0"/>
      </rPr>
      <t>DANA</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</si>
  <si>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5</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SEJAK</t>
    </r>
    <r>
      <rPr>
        <rFont val="Times New Roman"/>
        <color rgb="FF000000"/>
        <sz val="8.0"/>
      </rPr>
      <t xml:space="preserve"> </t>
    </r>
    <r>
      <rPr>
        <rFont val="Calibri"/>
        <color rgb="FF000000"/>
        <sz val="8.0"/>
      </rPr>
      <t>TANGGAL</t>
    </r>
    <r>
      <rPr>
        <rFont val="Times New Roman"/>
        <color rgb="FF000000"/>
        <sz val="8.0"/>
      </rPr>
      <t xml:space="preserve"> </t>
    </r>
    <r>
      <rPr>
        <rFont val="Calibri"/>
        <color rgb="FF000000"/>
        <sz val="8.0"/>
      </rPr>
      <t>SURAT</t>
    </r>
    <r>
      <rPr>
        <rFont val="Times New Roman"/>
        <color rgb="FF000000"/>
        <sz val="8.0"/>
      </rPr>
      <t xml:space="preserve"> </t>
    </r>
    <r>
      <rPr>
        <rFont val="Calibri"/>
        <color rgb="FF000000"/>
        <sz val="8.0"/>
      </rPr>
      <t>PEMBERITAHUAN</t>
    </r>
    <r>
      <rPr>
        <rFont val="Times New Roman"/>
        <color rgb="FF000000"/>
        <sz val="8.0"/>
      </rPr>
      <t xml:space="preserve"> </t>
    </r>
    <r>
      <rPr>
        <rFont val="Calibri"/>
        <color rgb="FF000000"/>
        <sz val="8.0"/>
      </rPr>
      <t>OTORITAS</t>
    </r>
    <r>
      <rPr>
        <rFont val="Times New Roman"/>
        <color rgb="FF000000"/>
        <sz val="8.0"/>
      </rPr>
      <t xml:space="preserve"> </t>
    </r>
    <r>
      <rPr>
        <rFont val="Calibri"/>
        <color rgb="FF000000"/>
        <sz val="8.0"/>
      </rPr>
      <t>JASA</t>
    </r>
    <r>
      <rPr>
        <rFont val="Times New Roman"/>
        <color rgb="FF000000"/>
        <sz val="8.0"/>
      </rPr>
      <t xml:space="preserve"> </t>
    </r>
    <r>
      <rPr>
        <rFont val="Calibri"/>
        <color rgb="FF000000"/>
        <sz val="8.0"/>
      </rPr>
      <t>KEUANGAN.</t>
    </r>
  </si>
  <si>
    <t>POJK Nomor 18/POJK.03/2016</t>
  </si>
  <si>
    <t>POJK Nomor 18 Tahun 2016.pdf</t>
  </si>
  <si>
    <r>
      <rPr>
        <rFont val="Calibri"/>
        <color rgb="FF000000"/>
        <sz val="8.0"/>
      </rPr>
      <t>BUKTI</t>
    </r>
    <r>
      <rPr>
        <rFont val="Times New Roman"/>
        <color rgb="FF000000"/>
        <sz val="8.0"/>
      </rPr>
      <t xml:space="preserve"> </t>
    </r>
    <r>
      <rPr>
        <rFont val="Calibri"/>
        <color rgb="FF000000"/>
        <sz val="8.0"/>
      </rPr>
      <t>PENGUMUMAN</t>
    </r>
    <r>
      <rPr>
        <rFont val="Times New Roman"/>
        <color rgb="FF000000"/>
        <sz val="8.0"/>
      </rPr>
      <t xml:space="preserve"> </t>
    </r>
    <r>
      <rPr>
        <rFont val="Calibri"/>
        <color rgb="FF000000"/>
        <sz val="8.0"/>
      </rPr>
      <t>MENGENAI</t>
    </r>
    <r>
      <rPr>
        <rFont val="Times New Roman"/>
        <color rgb="FF000000"/>
        <sz val="8.0"/>
      </rPr>
      <t xml:space="preserve"> </t>
    </r>
    <r>
      <rPr>
        <rFont val="Calibri"/>
        <color rgb="FF000000"/>
        <sz val="8.0"/>
      </rPr>
      <t>PERUBAHAN</t>
    </r>
    <r>
      <rPr>
        <rFont val="Times New Roman"/>
        <color rgb="FF000000"/>
        <sz val="8.0"/>
      </rPr>
      <t xml:space="preserve"> </t>
    </r>
    <r>
      <rPr>
        <rFont val="Calibri"/>
        <color rgb="FF000000"/>
        <sz val="8.0"/>
      </rPr>
      <t>IZIN</t>
    </r>
    <r>
      <rPr>
        <rFont val="Times New Roman"/>
        <color rgb="FF000000"/>
        <sz val="8.0"/>
      </rPr>
      <t xml:space="preserve"> </t>
    </r>
    <r>
      <rPr>
        <rFont val="Calibri"/>
        <color rgb="FF000000"/>
        <sz val="8.0"/>
      </rPr>
      <t>USAHA</t>
    </r>
    <r>
      <rPr>
        <rFont val="Times New Roman"/>
        <color rgb="FF000000"/>
        <sz val="8.0"/>
      </rPr>
      <t xml:space="preserve"> </t>
    </r>
    <r>
      <rPr>
        <rFont val="Calibri"/>
        <color rgb="FF000000"/>
        <sz val="8.0"/>
      </rPr>
      <t>BPR/BPRS</t>
    </r>
    <r>
      <rPr>
        <rFont val="Times New Roman"/>
        <color rgb="FF000000"/>
        <sz val="8.0"/>
      </rPr>
      <t xml:space="preserve"> </t>
    </r>
    <r>
      <rPr>
        <rFont val="Calibri"/>
        <color rgb="FF000000"/>
        <sz val="8.0"/>
      </rPr>
      <t>DARI</t>
    </r>
    <r>
      <rPr>
        <rFont val="Times New Roman"/>
        <color rgb="FF000000"/>
        <sz val="8.0"/>
      </rPr>
      <t xml:space="preserve"> </t>
    </r>
    <r>
      <rPr>
        <rFont val="Calibri"/>
        <color rgb="FF000000"/>
        <sz val="8.0"/>
      </rPr>
      <t>BUK/BUS</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</si>
  <si>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TANGGAL</t>
    </r>
    <r>
      <rPr>
        <rFont val="Times New Roman"/>
        <color rgb="FF000000"/>
        <sz val="8.0"/>
      </rPr>
      <t xml:space="preserve"> </t>
    </r>
    <r>
      <rPr>
        <rFont val="Calibri"/>
        <color rgb="FF000000"/>
        <sz val="8.0"/>
      </rPr>
      <t>PENGUMUMAN.</t>
    </r>
  </si>
  <si>
    <r>
      <rPr>
        <rFont val="Calibri"/>
        <color rgb="FF000000"/>
        <sz val="8.0"/>
      </rPr>
      <t>BUKTI</t>
    </r>
    <r>
      <rPr>
        <rFont val="Times New Roman"/>
        <color rgb="FF000000"/>
        <sz val="8.0"/>
      </rPr>
      <t xml:space="preserve"> </t>
    </r>
    <r>
      <rPr>
        <rFont val="Calibri"/>
        <color rgb="FF000000"/>
        <sz val="8.0"/>
      </rPr>
      <t>PENGUMUMAN</t>
    </r>
    <r>
      <rPr>
        <rFont val="Times New Roman"/>
        <color rgb="FF000000"/>
        <sz val="8.0"/>
      </rPr>
      <t xml:space="preserve"> </t>
    </r>
    <r>
      <rPr>
        <rFont val="Calibri"/>
        <color rgb="FF000000"/>
        <sz val="8.0"/>
      </rPr>
      <t>PERUBAHAN</t>
    </r>
    <r>
      <rPr>
        <rFont val="Times New Roman"/>
        <color rgb="FF000000"/>
        <sz val="8.0"/>
      </rPr>
      <t xml:space="preserve"> </t>
    </r>
    <r>
      <rPr>
        <rFont val="Calibri"/>
        <color rgb="FF000000"/>
        <sz val="8.0"/>
      </rPr>
      <t>NAMA</t>
    </r>
    <r>
      <rPr>
        <rFont val="Times New Roman"/>
        <color rgb="FF000000"/>
        <sz val="8.0"/>
      </rPr>
      <t xml:space="preserve"> </t>
    </r>
    <r>
      <rPr>
        <rFont val="Calibri"/>
        <color rgb="FF000000"/>
        <sz val="8.0"/>
      </rPr>
      <t>KEPADA</t>
    </r>
    <r>
      <rPr>
        <rFont val="Times New Roman"/>
        <color rgb="FF000000"/>
        <sz val="8.0"/>
      </rPr>
      <t xml:space="preserve"> </t>
    </r>
    <r>
      <rPr>
        <rFont val="Calibri"/>
        <color rgb="FF000000"/>
        <sz val="8.0"/>
      </rPr>
      <t>MASYARAKAT</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</si>
  <si>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TANGGAL</t>
    </r>
    <r>
      <rPr>
        <rFont val="Times New Roman"/>
        <color rgb="FF000000"/>
        <sz val="8.0"/>
      </rPr>
      <t xml:space="preserve"> </t>
    </r>
    <r>
      <rPr>
        <rFont val="Calibri"/>
        <color rgb="FF000000"/>
        <sz val="8.0"/>
      </rPr>
      <t>PENGUMUMAN.</t>
    </r>
  </si>
  <si>
    <r>
      <rPr>
        <rFont val="Calibri"/>
        <color rgb="FF000000"/>
        <sz val="8.0"/>
      </rPr>
      <t>BUKTI</t>
    </r>
    <r>
      <rPr>
        <rFont val="Times New Roman"/>
        <color rgb="FF000000"/>
        <sz val="8.0"/>
      </rPr>
      <t xml:space="preserve"> </t>
    </r>
    <r>
      <rPr>
        <rFont val="Calibri"/>
        <color rgb="FF000000"/>
        <sz val="8.0"/>
      </rPr>
      <t>PENGUMUMAN</t>
    </r>
    <r>
      <rPr>
        <rFont val="Times New Roman"/>
        <color rgb="FF000000"/>
        <sz val="8.0"/>
      </rPr>
      <t xml:space="preserve"> </t>
    </r>
    <r>
      <rPr>
        <rFont val="Calibri"/>
        <color rgb="FF000000"/>
        <sz val="8.0"/>
      </rPr>
      <t>PERUBAHAN</t>
    </r>
    <r>
      <rPr>
        <rFont val="Times New Roman"/>
        <color rgb="FF000000"/>
        <sz val="8.0"/>
      </rPr>
      <t xml:space="preserve"> </t>
    </r>
    <r>
      <rPr>
        <rFont val="Calibri"/>
        <color rgb="FF000000"/>
        <sz val="8.0"/>
      </rPr>
      <t>BENTUK</t>
    </r>
    <r>
      <rPr>
        <rFont val="Times New Roman"/>
        <color rgb="FF000000"/>
        <sz val="8.0"/>
      </rPr>
      <t xml:space="preserve"> </t>
    </r>
    <r>
      <rPr>
        <rFont val="Calibri"/>
        <color rgb="FF000000"/>
        <sz val="8.0"/>
      </rPr>
      <t>BADAN</t>
    </r>
    <r>
      <rPr>
        <rFont val="Times New Roman"/>
        <color rgb="FF000000"/>
        <sz val="8.0"/>
      </rPr>
      <t xml:space="preserve"> </t>
    </r>
    <r>
      <rPr>
        <rFont val="Calibri"/>
        <color rgb="FF000000"/>
        <sz val="8.0"/>
      </rPr>
      <t>HUKUM</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</si>
  <si>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TANGGAL</t>
    </r>
    <r>
      <rPr>
        <rFont val="Times New Roman"/>
        <color rgb="FF000000"/>
        <sz val="8.0"/>
      </rPr>
      <t xml:space="preserve"> </t>
    </r>
    <r>
      <rPr>
        <rFont val="Calibri"/>
        <color rgb="FF000000"/>
        <sz val="8.0"/>
      </rPr>
      <t>PENGUMUMAN.</t>
    </r>
  </si>
  <si>
    <r>
      <rPr>
        <rFont val="Calibri"/>
        <color rgb="FF000000"/>
        <sz val="8.0"/>
      </rPr>
      <t>BUKTI</t>
    </r>
    <r>
      <rPr>
        <rFont val="Times New Roman"/>
        <color rgb="FF000000"/>
        <sz val="8.0"/>
      </rPr>
      <t xml:space="preserve"> </t>
    </r>
    <r>
      <rPr>
        <rFont val="Calibri"/>
        <color rgb="FF000000"/>
        <sz val="8.0"/>
      </rPr>
      <t>PENGUMUMAN</t>
    </r>
    <r>
      <rPr>
        <rFont val="Times New Roman"/>
        <color rgb="FF000000"/>
        <sz val="8.0"/>
      </rPr>
      <t xml:space="preserve"> </t>
    </r>
    <r>
      <rPr>
        <rFont val="Calibri"/>
        <color rgb="FF000000"/>
        <sz val="8.0"/>
      </rPr>
      <t>TRANSFORMASI</t>
    </r>
    <r>
      <rPr>
        <rFont val="Times New Roman"/>
        <color rgb="FF000000"/>
        <sz val="8.0"/>
      </rPr>
      <t xml:space="preserve"> </t>
    </r>
    <r>
      <rPr>
        <rFont val="Calibri"/>
        <color rgb="FF000000"/>
        <sz val="8.0"/>
      </rPr>
      <t>KEGIATAN</t>
    </r>
    <r>
      <rPr>
        <rFont val="Times New Roman"/>
        <color rgb="FF000000"/>
        <sz val="8.0"/>
      </rPr>
      <t xml:space="preserve"> </t>
    </r>
    <r>
      <rPr>
        <rFont val="Calibri"/>
        <color rgb="FF000000"/>
        <sz val="8.0"/>
      </rPr>
      <t>USAHA</t>
    </r>
    <r>
      <rPr>
        <rFont val="Times New Roman"/>
        <color rgb="FF000000"/>
        <sz val="8.0"/>
      </rPr>
      <t xml:space="preserve"> </t>
    </r>
    <r>
      <rPr>
        <rFont val="Calibri"/>
        <color rgb="FF000000"/>
        <sz val="8.0"/>
      </rPr>
      <t>LKMK/LKMS</t>
    </r>
    <r>
      <rPr>
        <rFont val="Times New Roman"/>
        <color rgb="FF000000"/>
        <sz val="8.0"/>
      </rPr>
      <t xml:space="preserve"> </t>
    </r>
    <r>
      <rPr>
        <rFont val="Calibri"/>
        <color rgb="FF000000"/>
        <sz val="8.0"/>
      </rPr>
      <t>MENJADI</t>
    </r>
    <r>
      <rPr>
        <rFont val="Times New Roman"/>
        <color rgb="FF000000"/>
        <sz val="8.0"/>
      </rPr>
      <t xml:space="preserve">  </t>
    </r>
    <r>
      <rPr>
        <rFont val="Calibri"/>
        <color rgb="FF000000"/>
        <sz val="8.0"/>
      </rPr>
      <t>BPR/BPRS</t>
    </r>
  </si>
  <si>
    <r>
      <rPr>
        <rFont val="Calibri"/>
        <color rgb="FF000000"/>
        <sz val="8.0"/>
      </rPr>
      <t>PALING</t>
    </r>
    <r>
      <rPr>
        <rFont val="Times New Roman"/>
        <color rgb="FF000000"/>
        <sz val="8.0"/>
      </rPr>
      <t xml:space="preserve"> </t>
    </r>
    <r>
      <rPr>
        <rFont val="Calibri"/>
        <color rgb="FF000000"/>
        <sz val="8.0"/>
      </rPr>
      <t>LAMBAT</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PELAKSANAAN</t>
    </r>
    <r>
      <rPr>
        <rFont val="Times New Roman"/>
        <color rgb="FF000000"/>
        <sz val="8.0"/>
      </rPr>
      <t xml:space="preserve"> </t>
    </r>
    <r>
      <rPr>
        <rFont val="Calibri"/>
        <color rgb="FF000000"/>
        <sz val="8.0"/>
      </rPr>
      <t>PENGUMUMAN.</t>
    </r>
  </si>
  <si>
    <r>
      <rPr>
        <rFont val="Calibri"/>
        <color rgb="FF000000"/>
        <sz val="8.0"/>
      </rPr>
      <t>BUKTI</t>
    </r>
    <r>
      <rPr>
        <rFont val="Times New Roman"/>
        <color rgb="FF000000"/>
        <sz val="8.0"/>
      </rPr>
      <t xml:space="preserve"> </t>
    </r>
    <r>
      <rPr>
        <rFont val="Calibri"/>
        <color rgb="FF000000"/>
        <sz val="8.0"/>
      </rPr>
      <t>PEMBUBARAN</t>
    </r>
    <r>
      <rPr>
        <rFont val="Times New Roman"/>
        <color rgb="FF000000"/>
        <sz val="8.0"/>
      </rPr>
      <t xml:space="preserve"> </t>
    </r>
    <r>
      <rPr>
        <rFont val="Calibri"/>
        <color rgb="FF000000"/>
        <sz val="8.0"/>
      </rPr>
      <t>BADAN</t>
    </r>
    <r>
      <rPr>
        <rFont val="Times New Roman"/>
        <color rgb="FF000000"/>
        <sz val="8.0"/>
      </rPr>
      <t xml:space="preserve"> </t>
    </r>
    <r>
      <rPr>
        <rFont val="Calibri"/>
        <color rgb="FF000000"/>
        <sz val="8.0"/>
      </rPr>
      <t>HUKUM</t>
    </r>
    <r>
      <rPr>
        <rFont val="Times New Roman"/>
        <color rgb="FF000000"/>
        <sz val="8.0"/>
      </rPr>
      <t xml:space="preserve"> </t>
    </r>
    <r>
      <rPr>
        <rFont val="Calibri"/>
        <color rgb="FF000000"/>
        <sz val="8.0"/>
      </rPr>
      <t>LAMA</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</si>
  <si>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20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PERSETUJUAN</t>
    </r>
    <r>
      <rPr>
        <rFont val="Times New Roman"/>
        <color rgb="FF000000"/>
        <sz val="8.0"/>
      </rPr>
      <t xml:space="preserve"> </t>
    </r>
    <r>
      <rPr>
        <rFont val="Calibri"/>
        <color rgb="FF000000"/>
        <sz val="8.0"/>
      </rPr>
      <t>DARI</t>
    </r>
    <r>
      <rPr>
        <rFont val="Times New Roman"/>
        <color rgb="FF000000"/>
        <sz val="8.0"/>
      </rPr>
      <t xml:space="preserve"> </t>
    </r>
    <r>
      <rPr>
        <rFont val="Calibri"/>
        <color rgb="FF000000"/>
        <sz val="8.0"/>
      </rPr>
      <t>INSTANSI</t>
    </r>
    <r>
      <rPr>
        <rFont val="Times New Roman"/>
        <color rgb="FF000000"/>
        <sz val="8.0"/>
      </rPr>
      <t xml:space="preserve"> </t>
    </r>
    <r>
      <rPr>
        <rFont val="Calibri"/>
        <color rgb="FF000000"/>
        <sz val="8.0"/>
      </rPr>
      <t>YANG</t>
    </r>
    <r>
      <rPr>
        <rFont val="Times New Roman"/>
        <color rgb="FF000000"/>
        <sz val="8.0"/>
      </rPr>
      <t xml:space="preserve"> </t>
    </r>
    <r>
      <rPr>
        <rFont val="Calibri"/>
        <color rgb="FF000000"/>
        <sz val="8.0"/>
      </rPr>
      <t>BERWENANG.</t>
    </r>
  </si>
  <si>
    <r>
      <rPr>
        <rFont val="Calibri"/>
        <color rgb="FF000000"/>
        <sz val="8.0"/>
      </rPr>
      <t>LAPORAN</t>
    </r>
    <r>
      <rPr>
        <rFont val="Times New Roman"/>
        <color rgb="FF000000"/>
        <sz val="8.0"/>
      </rPr>
      <t xml:space="preserve">  </t>
    </r>
    <r>
      <rPr>
        <rFont val="Calibri"/>
        <color rgb="FF000000"/>
        <sz val="8.0"/>
      </rPr>
      <t>HASIL</t>
    </r>
    <r>
      <rPr>
        <rFont val="Times New Roman"/>
        <color rgb="FF000000"/>
        <sz val="8.0"/>
      </rPr>
      <t xml:space="preserve"> </t>
    </r>
    <r>
      <rPr>
        <rFont val="Calibri"/>
        <color rgb="FF000000"/>
        <sz val="8.0"/>
      </rPr>
      <t>KAJI</t>
    </r>
    <r>
      <rPr>
        <rFont val="Times New Roman"/>
        <color rgb="FF000000"/>
        <sz val="8.0"/>
      </rPr>
      <t xml:space="preserve"> </t>
    </r>
    <r>
      <rPr>
        <rFont val="Calibri"/>
        <color rgb="FF000000"/>
        <sz val="8.0"/>
      </rPr>
      <t>ULANG</t>
    </r>
    <r>
      <rPr>
        <rFont val="Times New Roman"/>
        <color rgb="FF000000"/>
        <sz val="8.0"/>
      </rPr>
      <t xml:space="preserve"> </t>
    </r>
    <r>
      <rPr>
        <rFont val="Calibri"/>
        <color rgb="FF000000"/>
        <sz val="8.0"/>
      </rPr>
      <t>O</t>
    </r>
    <r>
      <rPr>
        <rFont val="Times New Roman"/>
        <color rgb="FF000000"/>
        <sz val="8.0"/>
      </rPr>
      <t xml:space="preserve"> </t>
    </r>
    <r>
      <rPr>
        <rFont val="Calibri"/>
        <color rgb="FF000000"/>
        <sz val="8.0"/>
      </rPr>
      <t>LEH</t>
    </r>
    <r>
      <rPr>
        <rFont val="Times New Roman"/>
        <color rgb="FF000000"/>
        <sz val="8.0"/>
      </rPr>
      <t xml:space="preserve"> </t>
    </r>
    <r>
      <rPr>
        <rFont val="Calibri"/>
        <color rgb="FF000000"/>
        <sz val="8.0"/>
      </rPr>
      <t>PIHAK</t>
    </r>
    <r>
      <rPr>
        <rFont val="Times New Roman"/>
        <color rgb="FF000000"/>
        <sz val="8.0"/>
      </rPr>
      <t xml:space="preserve">  </t>
    </r>
    <r>
      <rPr>
        <rFont val="Calibri"/>
        <color rgb="FF000000"/>
        <sz val="8.0"/>
      </rPr>
      <t>EKSTERN</t>
    </r>
    <r>
      <rPr>
        <rFont val="Times New Roman"/>
        <color rgb="FF000000"/>
        <sz val="8.0"/>
      </rPr>
      <t xml:space="preserve"> </t>
    </r>
    <r>
      <rPr>
        <rFont val="Calibri"/>
        <color rgb="FF000000"/>
        <sz val="8.0"/>
      </rPr>
      <t>YANG</t>
    </r>
    <r>
      <rPr>
        <rFont val="Times New Roman"/>
        <color rgb="FF000000"/>
        <sz val="8.0"/>
      </rPr>
      <t xml:space="preserve">  </t>
    </r>
    <r>
      <rPr>
        <rFont val="Calibri"/>
        <color rgb="FF000000"/>
        <sz val="8.0"/>
      </rPr>
      <t>MEMUAT</t>
    </r>
    <r>
      <rPr>
        <rFont val="Times New Roman"/>
        <color rgb="FF000000"/>
        <sz val="8.0"/>
      </rPr>
      <t xml:space="preserve"> </t>
    </r>
    <r>
      <rPr>
        <rFont val="Calibri"/>
        <color rgb="FF000000"/>
        <sz val="8.0"/>
      </rPr>
      <t>PENDAPAT</t>
    </r>
    <r>
      <rPr>
        <rFont val="Times New Roman"/>
        <color rgb="FF000000"/>
        <sz val="8.0"/>
      </rPr>
      <t xml:space="preserve">  </t>
    </r>
    <r>
      <rPr>
        <rFont val="Calibri"/>
        <color rgb="FF000000"/>
        <sz val="8.0"/>
      </rPr>
      <t>TENTANG</t>
    </r>
    <r>
      <rPr>
        <rFont val="Times New Roman"/>
        <color rgb="FF000000"/>
        <sz val="8.0"/>
      </rPr>
      <t xml:space="preserve"> </t>
    </r>
    <r>
      <rPr>
        <rFont val="Calibri"/>
        <color rgb="FF000000"/>
        <sz val="8.0"/>
      </rPr>
      <t>HASIL</t>
    </r>
    <r>
      <rPr>
        <rFont val="Times New Roman"/>
        <color rgb="FF000000"/>
        <sz val="8.0"/>
      </rPr>
      <t xml:space="preserve"> </t>
    </r>
    <r>
      <rPr>
        <rFont val="Calibri"/>
        <color rgb="FF000000"/>
        <sz val="8.0"/>
      </rPr>
      <t>KERJA</t>
    </r>
    <r>
      <rPr>
        <rFont val="Times New Roman"/>
        <color rgb="FF000000"/>
        <sz val="8.0"/>
      </rPr>
      <t xml:space="preserve"> </t>
    </r>
    <r>
      <rPr>
        <rFont val="Calibri"/>
        <color rgb="FF000000"/>
        <sz val="8.0"/>
      </rPr>
      <t>SATUAN</t>
    </r>
    <r>
      <rPr>
        <rFont val="Times New Roman"/>
        <color rgb="FF000000"/>
        <sz val="8.0"/>
      </rPr>
      <t xml:space="preserve">  </t>
    </r>
    <r>
      <rPr>
        <rFont val="Calibri"/>
        <color rgb="FF000000"/>
        <sz val="8.0"/>
      </rPr>
      <t>KERJA</t>
    </r>
    <r>
      <rPr>
        <rFont val="Times New Roman"/>
        <color rgb="FF000000"/>
        <sz val="8.0"/>
      </rPr>
      <t xml:space="preserve"> </t>
    </r>
    <r>
      <rPr>
        <rFont val="Calibri"/>
        <color rgb="FF000000"/>
        <sz val="8.0"/>
      </rPr>
      <t>AUDIT</t>
    </r>
    <r>
      <rPr>
        <rFont val="Times New Roman"/>
        <color rgb="FF000000"/>
        <sz val="8.0"/>
      </rPr>
      <t xml:space="preserve"> </t>
    </r>
    <r>
      <rPr>
        <rFont val="Calibri"/>
        <color rgb="FF000000"/>
        <sz val="8.0"/>
      </rPr>
      <t>INTERN</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KEPATUHAN</t>
    </r>
    <r>
      <rPr>
        <rFont val="Times New Roman"/>
        <color rgb="FF000000"/>
        <sz val="8.0"/>
      </rPr>
      <t xml:space="preserve">  </t>
    </r>
    <r>
      <rPr>
        <rFont val="Calibri"/>
        <color rgb="FF000000"/>
        <sz val="8.0"/>
      </rPr>
      <t>BAGI</t>
    </r>
    <r>
      <rPr>
        <rFont val="Times New Roman"/>
        <color rgb="FF000000"/>
        <sz val="8.0"/>
      </rPr>
      <t xml:space="preserve"> </t>
    </r>
    <r>
      <rPr>
        <rFont val="Calibri"/>
        <color rgb="FF000000"/>
        <sz val="8.0"/>
      </rPr>
      <t>BBPR</t>
    </r>
    <r>
      <rPr>
        <rFont val="Times New Roman"/>
        <color rgb="FF000000"/>
        <sz val="8.0"/>
      </rPr>
      <t xml:space="preserve"> </t>
    </r>
    <r>
      <rPr>
        <rFont val="Calibri"/>
        <color rgb="FF000000"/>
        <sz val="8.0"/>
      </rPr>
      <t>DENGAN</t>
    </r>
    <r>
      <rPr>
        <rFont val="Times New Roman"/>
        <color rgb="FF000000"/>
        <sz val="8.0"/>
      </rPr>
      <t xml:space="preserve"> </t>
    </r>
    <r>
      <rPr>
        <rFont val="Calibri"/>
        <color rgb="FF000000"/>
        <sz val="8.0"/>
      </rPr>
      <t>MODAL</t>
    </r>
    <r>
      <rPr>
        <rFont val="Times New Roman"/>
        <color rgb="FF000000"/>
        <sz val="8.0"/>
      </rPr>
      <t xml:space="preserve"> </t>
    </r>
    <r>
      <rPr>
        <rFont val="Calibri"/>
        <color rgb="FF000000"/>
        <sz val="8.0"/>
      </rPr>
      <t>INTI</t>
    </r>
    <r>
      <rPr>
        <rFont val="Times New Roman"/>
        <color rgb="FF000000"/>
        <sz val="8.0"/>
      </rPr>
      <t xml:space="preserve"> </t>
    </r>
    <r>
      <rPr>
        <rFont val="Calibri"/>
        <color rgb="FF000000"/>
        <sz val="8.0"/>
      </rPr>
      <t>PALING</t>
    </r>
    <r>
      <rPr>
        <rFont val="Times New Roman"/>
        <color rgb="FF000000"/>
        <sz val="8.0"/>
      </rPr>
      <t xml:space="preserve"> </t>
    </r>
    <r>
      <rPr>
        <rFont val="Calibri"/>
        <color rgb="FF000000"/>
        <sz val="8.0"/>
      </rPr>
      <t>SEDIKIT</t>
    </r>
    <r>
      <rPr>
        <rFont val="Times New Roman"/>
        <color rgb="FF000000"/>
        <sz val="8.0"/>
      </rPr>
      <t xml:space="preserve"> </t>
    </r>
    <r>
      <rPr>
        <rFont val="Calibri"/>
        <color rgb="FF000000"/>
        <sz val="8.0"/>
      </rPr>
      <t>RP50.000.000.000,00</t>
    </r>
    <r>
      <rPr>
        <rFont val="Times New Roman"/>
        <color rgb="FF000000"/>
        <sz val="8.0"/>
      </rPr>
      <t xml:space="preserve">   </t>
    </r>
    <r>
      <rPr>
        <rFont val="Calibri"/>
        <color rgb="FF000000"/>
        <sz val="8.0"/>
      </rPr>
      <t>(LIMA</t>
    </r>
    <r>
      <rPr>
        <rFont val="Times New Roman"/>
        <color rgb="FF000000"/>
        <sz val="8.0"/>
      </rPr>
      <t xml:space="preserve"> </t>
    </r>
    <r>
      <rPr>
        <rFont val="Calibri"/>
        <color rgb="FF000000"/>
        <sz val="8.0"/>
      </rPr>
      <t>PULUH</t>
    </r>
    <r>
      <rPr>
        <rFont val="Times New Roman"/>
        <color rgb="FF000000"/>
        <sz val="8.0"/>
      </rPr>
      <t xml:space="preserve"> </t>
    </r>
    <r>
      <rPr>
        <rFont val="Calibri"/>
        <color rgb="FF000000"/>
        <sz val="8.0"/>
      </rPr>
      <t>MILIAR</t>
    </r>
    <r>
      <rPr>
        <rFont val="Times New Roman"/>
        <color rgb="FF000000"/>
        <sz val="8.0"/>
      </rPr>
      <t xml:space="preserve"> </t>
    </r>
    <r>
      <rPr>
        <rFont val="Calibri"/>
        <color rgb="FF000000"/>
        <sz val="8.0"/>
      </rPr>
      <t>RUPIAH).</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</si>
  <si>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1</t>
    </r>
    <r>
      <rPr>
        <rFont val="Times New Roman"/>
        <color rgb="FF000000"/>
        <sz val="8.0"/>
      </rPr>
      <t xml:space="preserve"> </t>
    </r>
    <r>
      <rPr>
        <rFont val="Calibri"/>
        <color rgb="FF000000"/>
        <sz val="8.0"/>
      </rPr>
      <t>(SATU)</t>
    </r>
    <r>
      <rPr>
        <rFont val="Times New Roman"/>
        <color rgb="FF000000"/>
        <sz val="8.0"/>
      </rPr>
      <t xml:space="preserve"> </t>
    </r>
    <r>
      <rPr>
        <rFont val="Calibri"/>
        <color rgb="FF000000"/>
        <sz val="8.0"/>
      </rPr>
      <t>BULAN</t>
    </r>
    <r>
      <rPr>
        <rFont val="Times New Roman"/>
        <color rgb="FF000000"/>
        <sz val="8.0"/>
      </rPr>
      <t xml:space="preserve"> </t>
    </r>
    <r>
      <rPr>
        <rFont val="Calibri"/>
        <color rgb="FF000000"/>
        <sz val="8.0"/>
      </rPr>
      <t>SETELAH</t>
    </r>
    <r>
      <rPr>
        <rFont val="Times New Roman"/>
        <color rgb="FF000000"/>
        <sz val="8.0"/>
      </rPr>
      <t xml:space="preserve"> </t>
    </r>
    <r>
      <rPr>
        <rFont val="Calibri"/>
        <color rgb="FF000000"/>
        <sz val="8.0"/>
      </rPr>
      <t>HAS</t>
    </r>
    <r>
      <rPr>
        <rFont val="Times New Roman"/>
        <color rgb="FF000000"/>
        <sz val="8.0"/>
      </rPr>
      <t xml:space="preserve"> </t>
    </r>
    <r>
      <rPr>
        <rFont val="Calibri"/>
        <color rgb="FF000000"/>
        <sz val="8.0"/>
      </rPr>
      <t>IL</t>
    </r>
    <r>
      <rPr>
        <rFont val="Times New Roman"/>
        <color rgb="FF000000"/>
        <sz val="8.0"/>
      </rPr>
      <t xml:space="preserve"> </t>
    </r>
    <r>
      <rPr>
        <rFont val="Calibri"/>
        <color rgb="FF000000"/>
        <sz val="8.0"/>
      </rPr>
      <t>KAJI</t>
    </r>
    <r>
      <rPr>
        <rFont val="Times New Roman"/>
        <color rgb="FF000000"/>
        <sz val="8.0"/>
      </rPr>
      <t xml:space="preserve"> </t>
    </r>
    <r>
      <rPr>
        <rFont val="Calibri"/>
        <color rgb="FF000000"/>
        <sz val="8.0"/>
      </rPr>
      <t>U</t>
    </r>
    <r>
      <rPr>
        <rFont val="Times New Roman"/>
        <color rgb="FF000000"/>
        <sz val="8.0"/>
      </rPr>
      <t xml:space="preserve"> </t>
    </r>
    <r>
      <rPr>
        <rFont val="Calibri"/>
        <color rgb="FF000000"/>
        <sz val="8.0"/>
      </rPr>
      <t>LANG</t>
    </r>
    <r>
      <rPr>
        <rFont val="Times New Roman"/>
        <color rgb="FF000000"/>
        <sz val="8.0"/>
      </rPr>
      <t xml:space="preserve"> </t>
    </r>
    <r>
      <rPr>
        <rFont val="Calibri"/>
        <color rgb="FF000000"/>
        <sz val="8.0"/>
      </rPr>
      <t>OLEH</t>
    </r>
    <r>
      <rPr>
        <rFont val="Times New Roman"/>
        <color rgb="FF000000"/>
        <sz val="8.0"/>
      </rPr>
      <t xml:space="preserve"> </t>
    </r>
    <r>
      <rPr>
        <rFont val="Calibri"/>
        <color rgb="FF000000"/>
        <sz val="8.0"/>
      </rPr>
      <t>PIHAK</t>
    </r>
    <r>
      <rPr>
        <rFont val="Times New Roman"/>
        <color rgb="FF000000"/>
        <sz val="8.0"/>
      </rPr>
      <t xml:space="preserve"> </t>
    </r>
    <r>
      <rPr>
        <rFont val="Calibri"/>
        <color rgb="FF000000"/>
        <sz val="8.0"/>
      </rPr>
      <t>EKSTERN</t>
    </r>
    <r>
      <rPr>
        <rFont val="Times New Roman"/>
        <color rgb="FF000000"/>
        <sz val="8.0"/>
      </rPr>
      <t xml:space="preserve"> </t>
    </r>
    <r>
      <rPr>
        <rFont val="Calibri"/>
        <color rgb="FF000000"/>
        <sz val="8.0"/>
      </rPr>
      <t>DITERIMA</t>
    </r>
    <r>
      <rPr>
        <rFont val="Times New Roman"/>
        <color rgb="FF000000"/>
        <sz val="8.0"/>
      </rPr>
      <t xml:space="preserve"> </t>
    </r>
    <r>
      <rPr>
        <rFont val="Calibri"/>
        <color rgb="FF000000"/>
        <sz val="8.0"/>
      </rPr>
      <t>OLEH</t>
    </r>
    <r>
      <rPr>
        <rFont val="Times New Roman"/>
        <color rgb="FF000000"/>
        <sz val="8.0"/>
      </rPr>
      <t xml:space="preserve"> </t>
    </r>
    <r>
      <rPr>
        <rFont val="Calibri"/>
        <color rgb="FF000000"/>
        <sz val="8.0"/>
      </rPr>
      <t>BPR</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BPR</t>
    </r>
    <r>
      <rPr>
        <rFont val="Times New Roman"/>
        <color rgb="FF000000"/>
        <sz val="8.0"/>
      </rPr>
      <t xml:space="preserve"> </t>
    </r>
    <r>
      <rPr>
        <rFont val="Calibri"/>
        <color rgb="FF000000"/>
        <sz val="8.0"/>
      </rPr>
      <t>SYARIAH.</t>
    </r>
  </si>
  <si>
    <t>POJK Nomor 12/POJK.03/2018</t>
  </si>
  <si>
    <t>POJK 12-2018.pdf</t>
  </si>
  <si>
    <r>
      <rPr>
        <rFont val="Calibri"/>
        <color rgb="FF000000"/>
        <sz val="8.0"/>
      </rPr>
      <t>LAPORAN</t>
    </r>
    <r>
      <rPr>
        <rFont val="Times New Roman"/>
        <color rgb="FF000000"/>
        <sz val="8.0"/>
      </rPr>
      <t xml:space="preserve"> </t>
    </r>
    <r>
      <rPr>
        <rFont val="Calibri"/>
        <color rgb="FF000000"/>
        <sz val="8.0"/>
      </rPr>
      <t>KONDISI</t>
    </r>
    <r>
      <rPr>
        <rFont val="Times New Roman"/>
        <color rgb="FF000000"/>
        <sz val="8.0"/>
      </rPr>
      <t xml:space="preserve"> </t>
    </r>
    <r>
      <rPr>
        <rFont val="Calibri"/>
        <color rgb="FF000000"/>
        <sz val="8.0"/>
      </rPr>
      <t>TERKINI</t>
    </r>
    <r>
      <rPr>
        <rFont val="Times New Roman"/>
        <color rgb="FF000000"/>
        <sz val="8.0"/>
      </rPr>
      <t xml:space="preserve"> </t>
    </r>
    <r>
      <rPr>
        <rFont val="Calibri"/>
        <color rgb="FF000000"/>
        <sz val="8.0"/>
      </rPr>
      <t>PENYELENGGARAAN</t>
    </r>
    <r>
      <rPr>
        <rFont val="Times New Roman"/>
        <color rgb="FF000000"/>
        <sz val="8.0"/>
      </rPr>
      <t xml:space="preserve"> </t>
    </r>
    <r>
      <rPr>
        <rFont val="Calibri"/>
        <color rgb="FF000000"/>
        <sz val="8.0"/>
      </rPr>
      <t>TEKNOLOGI</t>
    </r>
    <r>
      <rPr>
        <rFont val="Times New Roman"/>
        <color rgb="FF000000"/>
        <sz val="8.0"/>
      </rPr>
      <t xml:space="preserve"> </t>
    </r>
    <r>
      <rPr>
        <rFont val="Calibri"/>
        <color rgb="FF000000"/>
        <sz val="8.0"/>
      </rPr>
      <t>INFORMASI</t>
    </r>
    <r>
      <rPr>
        <rFont val="Times New Roman"/>
        <color rgb="FF000000"/>
        <sz val="8.0"/>
      </rPr>
      <t xml:space="preserve"> </t>
    </r>
    <r>
      <rPr>
        <rFont val="Calibri"/>
        <color rgb="FF000000"/>
        <sz val="8.0"/>
      </rPr>
      <t>BPR/BPRS</t>
    </r>
  </si>
  <si>
    <r>
      <rPr>
        <rFont val="Calibri"/>
        <color rgb="FF000000"/>
        <sz val="8.0"/>
      </rPr>
      <t>PLING</t>
    </r>
    <r>
      <rPr>
        <rFont val="Times New Roman"/>
        <color rgb="FF000000"/>
        <sz val="8.0"/>
      </rPr>
      <t xml:space="preserve"> </t>
    </r>
    <r>
      <rPr>
        <rFont val="Calibri"/>
        <color rgb="FF000000"/>
        <sz val="8.0"/>
      </rPr>
      <t>LAMBAT</t>
    </r>
    <r>
      <rPr>
        <rFont val="Times New Roman"/>
        <color rgb="FF000000"/>
        <sz val="8.0"/>
      </rPr>
      <t xml:space="preserve"> </t>
    </r>
    <r>
      <rPr>
        <rFont val="Calibri"/>
        <color rgb="FF000000"/>
        <sz val="8.0"/>
      </rPr>
      <t>10</t>
    </r>
    <r>
      <rPr>
        <rFont val="Times New Roman"/>
        <color rgb="FF000000"/>
        <sz val="8.0"/>
      </rPr>
      <t xml:space="preserve"> </t>
    </r>
    <r>
      <rPr>
        <rFont val="Calibri"/>
        <color rgb="FF000000"/>
        <sz val="8.0"/>
      </rPr>
      <t>HK</t>
    </r>
    <r>
      <rPr>
        <rFont val="Times New Roman"/>
        <color rgb="FF000000"/>
        <sz val="8.0"/>
      </rPr>
      <t xml:space="preserve"> </t>
    </r>
    <r>
      <rPr>
        <rFont val="Calibri"/>
        <color rgb="FF000000"/>
        <sz val="8.0"/>
      </rPr>
      <t>SEJAK</t>
    </r>
    <r>
      <rPr>
        <rFont val="Times New Roman"/>
        <color rgb="FF000000"/>
        <sz val="8.0"/>
      </rPr>
      <t xml:space="preserve"> </t>
    </r>
    <r>
      <rPr>
        <rFont val="Calibri"/>
        <color rgb="FF000000"/>
        <sz val="8.0"/>
      </rPr>
      <t>TEKNOLOGI</t>
    </r>
    <r>
      <rPr>
        <rFont val="Times New Roman"/>
        <color rgb="FF000000"/>
        <sz val="8.0"/>
      </rPr>
      <t xml:space="preserve"> </t>
    </r>
    <r>
      <rPr>
        <rFont val="Calibri"/>
        <color rgb="FF000000"/>
        <sz val="8.0"/>
      </rPr>
      <t>INFORMASI</t>
    </r>
    <r>
      <rPr>
        <rFont val="Times New Roman"/>
        <color rgb="FF000000"/>
        <sz val="8.0"/>
      </rPr>
      <t xml:space="preserve"> </t>
    </r>
    <r>
      <rPr>
        <rFont val="Calibri"/>
        <color rgb="FF000000"/>
        <sz val="8.0"/>
      </rPr>
      <t>EFEKTIF</t>
    </r>
    <r>
      <rPr>
        <rFont val="Times New Roman"/>
        <color rgb="FF000000"/>
        <sz val="8.0"/>
      </rPr>
      <t xml:space="preserve"> </t>
    </r>
    <r>
      <rPr>
        <rFont val="Calibri"/>
        <color rgb="FF000000"/>
        <sz val="8.0"/>
      </rPr>
      <t>BEROPERASI.</t>
    </r>
  </si>
  <si>
    <t>POJK Nomor 38/POJK.03/2019</t>
  </si>
  <si>
    <t>pojk 38-2019.pdf</t>
  </si>
  <si>
    <r>
      <rPr>
        <rFont val="Calibri"/>
        <color rgb="FF000000"/>
        <sz val="8.0"/>
      </rPr>
      <t>KEBIJAKAN</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PROSEDUR</t>
    </r>
    <r>
      <rPr>
        <rFont val="Times New Roman"/>
        <color rgb="FF000000"/>
        <sz val="8.0"/>
      </rPr>
      <t xml:space="preserve">   </t>
    </r>
    <r>
      <rPr>
        <rFont val="Calibri"/>
        <color rgb="FF000000"/>
        <sz val="8.0"/>
      </rPr>
      <t>PENERAPAN</t>
    </r>
    <r>
      <rPr>
        <rFont val="Times New Roman"/>
        <color rgb="FF000000"/>
        <sz val="8.0"/>
      </rPr>
      <t xml:space="preserve">   </t>
    </r>
    <r>
      <rPr>
        <rFont val="Calibri"/>
        <color rgb="FF000000"/>
        <sz val="8.0"/>
      </rPr>
      <t>PROGRAM</t>
    </r>
    <r>
      <rPr>
        <rFont val="Times New Roman"/>
        <color rgb="FF000000"/>
        <sz val="8.0"/>
      </rPr>
      <t xml:space="preserve">   </t>
    </r>
    <r>
      <rPr>
        <rFont val="Calibri"/>
        <color rgb="FF000000"/>
        <sz val="8.0"/>
      </rPr>
      <t>APU</t>
    </r>
    <r>
      <rPr>
        <rFont val="Times New Roman"/>
        <color rgb="FF000000"/>
        <sz val="8.0"/>
      </rPr>
      <t xml:space="preserve">  </t>
    </r>
    <r>
      <rPr>
        <rFont val="Calibri"/>
        <color rgb="FF000000"/>
        <sz val="8.0"/>
      </rPr>
      <t>PPT</t>
    </r>
    <r>
      <rPr>
        <rFont val="Times New Roman"/>
        <color rgb="FF000000"/>
        <sz val="8.0"/>
      </rPr>
      <t xml:space="preserve">  </t>
    </r>
    <r>
      <rPr>
        <rFont val="Calibri"/>
        <color rgb="FF000000"/>
        <sz val="8.0"/>
      </rPr>
      <t>DAN</t>
    </r>
    <r>
      <rPr>
        <rFont val="Times New Roman"/>
        <color rgb="FF000000"/>
        <sz val="8.0"/>
      </rPr>
      <t xml:space="preserve"> </t>
    </r>
    <r>
      <rPr>
        <rFont val="Calibri"/>
        <color rgb="FF000000"/>
        <sz val="8.0"/>
      </rPr>
      <t>PPSPM</t>
    </r>
    <r>
      <rPr>
        <rFont val="Times New Roman"/>
        <color rgb="FF000000"/>
        <sz val="8.0"/>
      </rPr>
      <t xml:space="preserve">  </t>
    </r>
    <r>
      <rPr>
        <rFont val="Calibri"/>
        <color rgb="FF000000"/>
        <sz val="8.0"/>
      </rPr>
      <t>SERTA</t>
    </r>
    <r>
      <rPr>
        <rFont val="Times New Roman"/>
        <color rgb="FF000000"/>
        <sz val="8.0"/>
      </rPr>
      <t xml:space="preserve"> </t>
    </r>
    <r>
      <rPr>
        <rFont val="Calibri"/>
        <color rgb="FF000000"/>
        <sz val="8.0"/>
      </rPr>
      <t>PERUBAHANNYA</t>
    </r>
  </si>
  <si>
    <r>
      <rPr>
        <rFont val="Calibri"/>
        <color rgb="FF000000"/>
        <sz val="8.0"/>
      </rPr>
      <t>PALING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7</t>
    </r>
    <r>
      <rPr>
        <rFont val="Times New Roman"/>
        <color rgb="FF000000"/>
        <sz val="8.0"/>
      </rPr>
      <t xml:space="preserve"> </t>
    </r>
    <r>
      <rPr>
        <rFont val="Calibri"/>
        <color rgb="FF000000"/>
        <sz val="8.0"/>
      </rPr>
      <t>(TUJUH</t>
    </r>
    <r>
      <rPr>
        <rFont val="Times New Roman"/>
        <color rgb="FF000000"/>
        <sz val="8.0"/>
      </rPr>
      <t xml:space="preserve"> </t>
    </r>
    <r>
      <rPr>
        <rFont val="Calibri"/>
        <color rgb="FF000000"/>
        <sz val="8.0"/>
      </rPr>
      <t>)</t>
    </r>
    <r>
      <rPr>
        <rFont val="Times New Roman"/>
        <color rgb="FF000000"/>
        <sz val="8.0"/>
      </rPr>
      <t xml:space="preserve"> </t>
    </r>
    <r>
      <rPr>
        <rFont val="Calibri"/>
        <color rgb="FF000000"/>
        <sz val="8.0"/>
      </rPr>
      <t>HARI</t>
    </r>
    <r>
      <rPr>
        <rFont val="Times New Roman"/>
        <color rgb="FF000000"/>
        <sz val="8.0"/>
      </rPr>
      <t xml:space="preserve"> </t>
    </r>
    <r>
      <rPr>
        <rFont val="Calibri"/>
        <color rgb="FF000000"/>
        <sz val="8.0"/>
      </rPr>
      <t>KERJA</t>
    </r>
    <r>
      <rPr>
        <rFont val="Times New Roman"/>
        <color rgb="FF000000"/>
        <sz val="8.0"/>
      </rPr>
      <t xml:space="preserve"> </t>
    </r>
    <r>
      <rPr>
        <rFont val="Calibri"/>
        <color rgb="FF000000"/>
        <sz val="8.0"/>
      </rPr>
      <t>SEJAK</t>
    </r>
    <r>
      <rPr>
        <rFont val="Times New Roman"/>
        <color rgb="FF000000"/>
        <sz val="8.0"/>
      </rPr>
      <t xml:space="preserve"> </t>
    </r>
    <r>
      <rPr>
        <rFont val="Calibri"/>
        <color rgb="FF000000"/>
        <sz val="8.0"/>
      </rPr>
      <t>PERUBAHAN</t>
    </r>
    <r>
      <rPr>
        <rFont val="Times New Roman"/>
        <color rgb="FF000000"/>
        <sz val="8.0"/>
      </rPr>
      <t xml:space="preserve"> </t>
    </r>
    <r>
      <rPr>
        <rFont val="Calibri"/>
        <color rgb="FF000000"/>
        <sz val="8.0"/>
      </rPr>
      <t>DILAKUK</t>
    </r>
    <r>
      <rPr>
        <rFont val="Times New Roman"/>
        <color rgb="FF000000"/>
        <sz val="8.0"/>
      </rPr>
      <t xml:space="preserve"> </t>
    </r>
    <r>
      <rPr>
        <rFont val="Calibri"/>
        <color rgb="FF000000"/>
        <sz val="8.0"/>
      </rPr>
      <t>AN</t>
    </r>
    <r>
      <rPr>
        <rFont val="Times New Roman"/>
        <color rgb="FF000000"/>
        <sz val="8.0"/>
      </rPr>
      <t xml:space="preserve"> </t>
    </r>
    <r>
      <rPr>
        <rFont val="Calibri"/>
        <color rgb="FF000000"/>
        <sz val="8.0"/>
      </rPr>
      <t>ATAU</t>
    </r>
    <r>
      <rPr>
        <rFont val="Times New Roman"/>
        <color rgb="FF000000"/>
        <sz val="8.0"/>
      </rPr>
      <t xml:space="preserve"> </t>
    </r>
    <r>
      <rPr>
        <rFont val="Calibri"/>
        <color rgb="FF000000"/>
        <sz val="8.0"/>
      </rPr>
      <t>PALIN</t>
    </r>
    <r>
      <rPr>
        <rFont val="Times New Roman"/>
        <color rgb="FF000000"/>
        <sz val="8.0"/>
      </rPr>
      <t xml:space="preserve"> </t>
    </r>
    <r>
      <rPr>
        <rFont val="Calibri"/>
        <color rgb="FF000000"/>
        <sz val="8.0"/>
      </rPr>
      <t>G</t>
    </r>
    <r>
      <rPr>
        <rFont val="Times New Roman"/>
        <color rgb="FF000000"/>
        <sz val="8.0"/>
      </rPr>
      <t xml:space="preserve"> </t>
    </r>
    <r>
      <rPr>
        <rFont val="Calibri"/>
        <color rgb="FF000000"/>
        <sz val="8.0"/>
      </rPr>
      <t>LAMA</t>
    </r>
    <r>
      <rPr>
        <rFont val="Times New Roman"/>
        <color rgb="FF000000"/>
        <sz val="8.0"/>
      </rPr>
      <t xml:space="preserve"> </t>
    </r>
    <r>
      <rPr>
        <rFont val="Calibri"/>
        <color rgb="FF000000"/>
        <sz val="8.0"/>
      </rPr>
      <t>6</t>
    </r>
    <r>
      <rPr>
        <rFont val="Times New Roman"/>
        <color rgb="FF000000"/>
        <sz val="8.0"/>
      </rPr>
      <t xml:space="preserve"> </t>
    </r>
    <r>
      <rPr>
        <rFont val="Calibri"/>
        <color rgb="FF000000"/>
        <sz val="8.0"/>
      </rPr>
      <t>(ENAM)</t>
    </r>
    <r>
      <rPr>
        <rFont val="Times New Roman"/>
        <color rgb="FF000000"/>
        <sz val="8.0"/>
      </rPr>
      <t xml:space="preserve"> </t>
    </r>
    <r>
      <rPr>
        <rFont val="Calibri"/>
        <color rgb="FF000000"/>
        <sz val="8.0"/>
      </rPr>
      <t>BU</t>
    </r>
    <r>
      <rPr>
        <rFont val="Times New Roman"/>
        <color rgb="FF000000"/>
        <sz val="8.0"/>
      </rPr>
      <t xml:space="preserve"> </t>
    </r>
    <r>
      <rPr>
        <rFont val="Calibri"/>
        <color rgb="FF000000"/>
        <sz val="8.0"/>
      </rPr>
      <t>LAN</t>
    </r>
    <r>
      <rPr>
        <rFont val="Times New Roman"/>
        <color rgb="FF000000"/>
        <sz val="8.0"/>
      </rPr>
      <t xml:space="preserve"> </t>
    </r>
    <r>
      <rPr>
        <rFont val="Calibri"/>
        <color rgb="FF000000"/>
        <sz val="8.0"/>
      </rPr>
      <t>SEJAK</t>
    </r>
    <r>
      <rPr>
        <rFont val="Times New Roman"/>
        <color rgb="FF000000"/>
        <sz val="8.0"/>
      </rPr>
      <t xml:space="preserve"> </t>
    </r>
    <r>
      <rPr>
        <rFont val="Calibri"/>
        <color rgb="FF000000"/>
        <sz val="8.0"/>
      </rPr>
      <t>DIWAJIBKAN</t>
    </r>
    <r>
      <rPr>
        <rFont val="Times New Roman"/>
        <color rgb="FF000000"/>
        <sz val="8.0"/>
      </rPr>
      <t xml:space="preserve">  </t>
    </r>
    <r>
      <rPr>
        <rFont val="Calibri"/>
        <color rgb="FF000000"/>
        <sz val="8.0"/>
      </rPr>
      <t>BAGI</t>
    </r>
    <r>
      <rPr>
        <rFont val="Times New Roman"/>
        <color rgb="FF000000"/>
        <sz val="8.0"/>
      </rPr>
      <t xml:space="preserve"> </t>
    </r>
    <r>
      <rPr>
        <rFont val="Calibri"/>
        <color rgb="FF000000"/>
        <sz val="8.0"/>
      </rPr>
      <t>BPR</t>
    </r>
    <r>
      <rPr>
        <rFont val="Times New Roman"/>
        <color rgb="FF000000"/>
        <sz val="8.0"/>
      </rPr>
      <t xml:space="preserve"> </t>
    </r>
    <r>
      <rPr>
        <rFont val="Calibri"/>
        <color rgb="FF000000"/>
        <sz val="8.0"/>
      </rPr>
      <t>.</t>
    </r>
  </si>
  <si>
    <t>POJK NO 8 Tahun 2023</t>
  </si>
  <si>
    <r>
      <rPr>
        <rFont val="Calibri"/>
        <color theme="1"/>
        <sz val="8.0"/>
      </rPr>
      <t>LAINNYA</t>
    </r>
  </si>
  <si>
    <r>
      <rPr>
        <rFont val="Calibri"/>
        <color theme="1"/>
        <sz val="8.0"/>
      </rPr>
      <t>SEWAKTU-WAKTU.</t>
    </r>
  </si>
  <si>
    <r>
      <rPr>
        <rFont val="Calibri"/>
        <i/>
        <color rgb="FF000000"/>
        <sz val="8.0"/>
      </rPr>
      <t>Update:</t>
    </r>
    <r>
      <rPr>
        <rFont val="Times New Roman"/>
        <color rgb="FF000000"/>
        <sz val="8.0"/>
      </rPr>
      <t xml:space="preserve">    </t>
    </r>
    <r>
      <rPr>
        <rFont val="Calibri"/>
        <i/>
        <color rgb="FF000000"/>
        <sz val="8.0"/>
      </rPr>
      <t>03/06/2025</t>
    </r>
  </si>
  <si>
    <r>
      <rPr>
        <rFont val="Times New Roman"/>
        <color theme="1"/>
        <sz val="9.0"/>
      </rPr>
      <t xml:space="preserve">pojk 62-2020.pdf
</t>
    </r>
    <r>
      <rPr>
        <rFont val="Times New Roman"/>
        <color theme="1"/>
        <sz val="9.0"/>
      </rPr>
      <t>pojk 13-2018.pdf</t>
    </r>
  </si>
  <si>
    <r>
      <rPr>
        <rFont val="Times New Roman"/>
        <color theme="1"/>
        <sz val="8.0"/>
      </rPr>
      <t>pojk 13-2019.pdf</t>
    </r>
    <r>
      <rPr>
        <rFont val="Times New Roman"/>
        <color theme="1"/>
        <sz val="7.0"/>
      </rPr>
      <t xml:space="preserve"> </t>
    </r>
    <r>
      <rPr>
        <rFont val="Times New Roman"/>
        <color theme="1"/>
        <sz val="8.0"/>
      </rPr>
      <t>SEOJK 12  - 2022.pdf</t>
    </r>
    <r>
      <rPr>
        <rFont val="Times New Roman"/>
        <color theme="1"/>
        <sz val="7.0"/>
      </rPr>
      <t xml:space="preserve"> </t>
    </r>
    <r>
      <rPr>
        <rFont val="Times New Roman"/>
        <color theme="1"/>
        <sz val="8.0"/>
      </rPr>
      <t>POJK 23 - 2024.pdf</t>
    </r>
  </si>
</sst>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Times New Roman"/>
      <scheme val="minor"/>
    </font>
    <font>
      <sz val="10.0"/>
      <color rgb="FF000000"/>
      <name val="Times New Roman"/>
    </font>
    <font>
      <b/>
      <sz val="8.0"/>
      <color theme="1"/>
      <name val="Calibri"/>
    </font>
    <font>
      <b/>
      <sz val="8.0"/>
      <color rgb="FF000000"/>
      <name val="Calibri"/>
    </font>
    <font/>
    <font>
      <color theme="1"/>
      <name val="Times New Roman"/>
      <scheme val="minor"/>
    </font>
    <font>
      <sz val="8.0"/>
      <color rgb="FF000000"/>
      <name val="Calibri"/>
    </font>
    <font>
      <sz val="8.0"/>
      <color theme="1"/>
      <name val="Calibri"/>
    </font>
    <font>
      <u/>
      <sz val="9.0"/>
      <color theme="1"/>
      <name val="Times New Roman"/>
      <scheme val="minor"/>
    </font>
    <font>
      <u/>
      <sz val="8.0"/>
      <color theme="1"/>
      <name val="Times New Roman"/>
      <scheme val="minor"/>
    </font>
    <font>
      <u/>
      <sz val="8.0"/>
      <color theme="1"/>
      <name val="Times New Roman"/>
      <scheme val="minor"/>
    </font>
    <font>
      <u/>
      <sz val="8.0"/>
      <color theme="1"/>
      <name val="Times New Roman"/>
      <scheme val="minor"/>
    </font>
    <font>
      <u/>
      <sz val="8.0"/>
      <color theme="1"/>
      <name val="Times New Roman"/>
      <scheme val="minor"/>
    </font>
    <font>
      <u/>
      <sz val="9.0"/>
      <color theme="1"/>
      <name val="Times New Roman"/>
      <scheme val="minor"/>
    </font>
    <font>
      <u/>
      <sz val="8.0"/>
      <color theme="1"/>
      <name val="Times New Roman"/>
      <scheme val="minor"/>
    </font>
    <font>
      <sz val="9.0"/>
      <color rgb="FF000000"/>
      <name val="Times New Roman"/>
    </font>
    <font>
      <u/>
      <sz val="10.0"/>
      <color rgb="FF000000"/>
      <name val="Times New Roman"/>
    </font>
    <font>
      <sz val="8.0"/>
      <color rgb="FF000000"/>
      <name val="Times New Roman"/>
    </font>
    <font>
      <u/>
      <sz val="10.0"/>
      <color rgb="FF000000"/>
      <name val="Times New Roman"/>
    </font>
    <font>
      <u/>
      <color theme="1"/>
      <name val="Times New Roman"/>
      <scheme val="minor"/>
    </font>
    <font>
      <b/>
      <sz val="14.0"/>
      <color rgb="FF000000"/>
      <name val="Times New Roman"/>
    </font>
  </fonts>
  <fills count="5">
    <fill>
      <patternFill patternType="none"/>
    </fill>
    <fill>
      <patternFill patternType="lightGray"/>
    </fill>
    <fill>
      <patternFill patternType="solid">
        <fgColor rgb="FFE6B8B7"/>
        <bgColor rgb="FFE6B8B7"/>
      </patternFill>
    </fill>
    <fill>
      <patternFill patternType="solid">
        <fgColor rgb="FFF2DCDB"/>
        <bgColor rgb="FFF2DCDB"/>
      </patternFill>
    </fill>
    <fill>
      <patternFill patternType="solid">
        <fgColor rgb="FFFFFF00"/>
        <bgColor rgb="FFFFFF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horizontal="left" readingOrder="0" shrinkToFit="0" vertical="top" wrapText="0"/>
    </xf>
    <xf borderId="0" fillId="0" fontId="1" numFmtId="0" xfId="0" applyAlignment="1" applyFont="1">
      <alignment horizontal="right" readingOrder="0" shrinkToFit="0" vertical="top" wrapText="1"/>
    </xf>
    <xf borderId="0" fillId="0" fontId="1" numFmtId="0" xfId="0" applyAlignment="1" applyFont="1">
      <alignment horizontal="center" shrinkToFit="0" vertical="top" wrapText="1"/>
    </xf>
    <xf borderId="1" fillId="2" fontId="2" numFmtId="0" xfId="0" applyAlignment="1" applyBorder="1" applyFill="1" applyFont="1">
      <alignment horizontal="center" shrinkToFit="0" vertical="top" wrapText="1"/>
    </xf>
    <xf borderId="1" fillId="2" fontId="1" numFmtId="0" xfId="0" applyAlignment="1" applyBorder="1" applyFont="1">
      <alignment horizontal="left" shrinkToFit="0" vertical="top" wrapText="1"/>
    </xf>
    <xf borderId="1" fillId="2" fontId="3" numFmtId="0" xfId="0" applyAlignment="1" applyBorder="1" applyFont="1">
      <alignment horizontal="center" readingOrder="0" shrinkToFit="0" vertical="top" wrapText="1"/>
    </xf>
    <xf borderId="1" fillId="2" fontId="1" numFmtId="0" xfId="0" applyAlignment="1" applyBorder="1" applyFont="1">
      <alignment horizontal="center" shrinkToFit="0" vertical="top" wrapText="1"/>
    </xf>
    <xf borderId="1" fillId="2" fontId="2" numFmtId="0" xfId="0" applyAlignment="1" applyBorder="1" applyFont="1">
      <alignment horizontal="center" readingOrder="0" shrinkToFit="0" vertical="top" wrapText="1"/>
    </xf>
    <xf borderId="2" fillId="3" fontId="1" numFmtId="0" xfId="0" applyAlignment="1" applyBorder="1" applyFill="1" applyFont="1">
      <alignment horizontal="left" shrinkToFit="0" vertical="top" wrapText="1"/>
    </xf>
    <xf borderId="3" fillId="0" fontId="4" numFmtId="0" xfId="0" applyAlignment="1" applyBorder="1" applyFont="1">
      <alignment horizontal="left" vertical="top"/>
    </xf>
    <xf borderId="4" fillId="0" fontId="4" numFmtId="0" xfId="0" applyAlignment="1" applyBorder="1" applyFont="1">
      <alignment horizontal="left" vertical="top"/>
    </xf>
    <xf borderId="1" fillId="3" fontId="5" numFmtId="0" xfId="0" applyAlignment="1" applyBorder="1" applyFont="1">
      <alignment horizontal="left" vertical="top"/>
    </xf>
    <xf borderId="1" fillId="0" fontId="6" numFmtId="1" xfId="0" applyAlignment="1" applyBorder="1" applyFont="1" applyNumberFormat="1">
      <alignment horizontal="center" shrinkToFit="1" vertical="top" wrapText="0"/>
    </xf>
    <xf borderId="1" fillId="0" fontId="7"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 numFmtId="0" xfId="0" applyAlignment="1" applyBorder="1" applyFont="1">
      <alignment horizontal="center" shrinkToFit="0" vertical="top" wrapText="1"/>
    </xf>
    <xf borderId="1" fillId="0" fontId="8" numFmtId="0" xfId="0" applyAlignment="1" applyBorder="1" applyFont="1">
      <alignment horizontal="left" readingOrder="0" vertical="top"/>
    </xf>
    <xf borderId="1" fillId="0" fontId="5" numFmtId="0" xfId="0" applyAlignment="1" applyBorder="1" applyFont="1">
      <alignment horizontal="left" vertical="top"/>
    </xf>
    <xf borderId="2" fillId="3" fontId="2"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5" fillId="0" fontId="1" numFmtId="0" xfId="0" applyAlignment="1" applyBorder="1" applyFont="1">
      <alignment horizontal="left" shrinkToFit="0" vertical="center" wrapText="1"/>
    </xf>
    <xf borderId="1" fillId="0" fontId="10" numFmtId="0" xfId="0" applyAlignment="1" applyBorder="1" applyFont="1">
      <alignment horizontal="left" readingOrder="0" shrinkToFit="0" vertical="top" wrapText="1"/>
    </xf>
    <xf borderId="6" fillId="0" fontId="4" numFmtId="0" xfId="0" applyAlignment="1" applyBorder="1" applyFont="1">
      <alignment horizontal="left" vertical="top"/>
    </xf>
    <xf borderId="1" fillId="0" fontId="11" numFmtId="0" xfId="0" applyAlignment="1" applyBorder="1" applyFont="1">
      <alignment horizontal="left" readingOrder="0" shrinkToFit="0" vertical="top" wrapText="1"/>
    </xf>
    <xf borderId="1" fillId="0" fontId="12" numFmtId="0" xfId="0" applyAlignment="1" applyBorder="1" applyFont="1">
      <alignment horizontal="left" readingOrder="0" vertical="center"/>
    </xf>
    <xf borderId="7" fillId="0" fontId="4" numFmtId="0" xfId="0" applyAlignment="1" applyBorder="1" applyFont="1">
      <alignment horizontal="left" vertical="top"/>
    </xf>
    <xf borderId="1" fillId="4" fontId="1" numFmtId="0" xfId="0" applyAlignment="1" applyBorder="1" applyFill="1" applyFont="1">
      <alignment horizontal="left" shrinkToFit="0" vertical="top" wrapText="1"/>
    </xf>
    <xf borderId="1" fillId="4" fontId="1" numFmtId="0" xfId="0" applyAlignment="1" applyBorder="1" applyFont="1">
      <alignment horizontal="center" shrinkToFit="0" vertical="top" wrapText="1"/>
    </xf>
    <xf borderId="1" fillId="4" fontId="1" numFmtId="0" xfId="0" applyAlignment="1" applyBorder="1" applyFont="1">
      <alignment horizontal="left" readingOrder="0" shrinkToFit="0" vertical="top" wrapText="1"/>
    </xf>
    <xf borderId="1" fillId="0" fontId="13" numFmtId="0" xfId="0" applyAlignment="1" applyBorder="1" applyFont="1">
      <alignment horizontal="left" readingOrder="0" vertical="center"/>
    </xf>
    <xf borderId="1" fillId="0" fontId="14" numFmtId="0" xfId="0" applyAlignment="1" applyBorder="1" applyFont="1">
      <alignment horizontal="left" readingOrder="0" shrinkToFit="0" vertical="center" wrapText="1"/>
    </xf>
    <xf borderId="1" fillId="0" fontId="15" numFmtId="0" xfId="0" applyAlignment="1" applyBorder="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1" fillId="0" fontId="17"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7" fillId="0" fontId="7" numFmtId="0" xfId="0" applyAlignment="1" applyBorder="1" applyFont="1">
      <alignment horizontal="left" readingOrder="0" shrinkToFit="0" vertical="top" wrapText="1"/>
    </xf>
    <xf borderId="0" fillId="0" fontId="5" numFmtId="0" xfId="0" applyAlignment="1" applyFont="1">
      <alignment horizontal="left" readingOrder="0" vertical="top"/>
    </xf>
    <xf borderId="1" fillId="0" fontId="18" numFmtId="0" xfId="0" applyAlignment="1" applyBorder="1" applyFont="1">
      <alignment horizontal="left" readingOrder="0" shrinkToFit="0" vertical="top" wrapText="1"/>
    </xf>
    <xf borderId="0" fillId="0" fontId="5" numFmtId="0" xfId="0" applyAlignment="1" applyFont="1">
      <alignment horizontal="left" readingOrder="0" shrinkToFit="0" vertical="top" wrapText="1"/>
    </xf>
    <xf borderId="1" fillId="0" fontId="5" numFmtId="0" xfId="0" applyAlignment="1" applyBorder="1" applyFont="1">
      <alignment horizontal="left" readingOrder="0" vertical="top"/>
    </xf>
    <xf borderId="1" fillId="0" fontId="19" numFmtId="0" xfId="0" applyAlignment="1" applyBorder="1" applyFont="1">
      <alignment horizontal="left" readingOrder="0" vertical="top"/>
    </xf>
    <xf borderId="0" fillId="0" fontId="20" numFmtId="0" xfId="0" applyAlignment="1" applyFont="1">
      <alignment horizontal="center" shrinkToFit="0" vertical="top" wrapText="1"/>
    </xf>
    <xf borderId="5" fillId="0" fontId="7" numFmtId="0" xfId="0" applyAlignment="1" applyBorder="1" applyFont="1">
      <alignment horizontal="center" shrinkToFit="0" vertical="center" wrapText="1"/>
    </xf>
    <xf borderId="5" fillId="0" fontId="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VY79APBdo8kvfYgXEL3HXD8s0PzifJiW/view?usp=drive_link" TargetMode="External"/><Relationship Id="rId42" Type="http://schemas.openxmlformats.org/officeDocument/2006/relationships/hyperlink" Target="https://drive.google.com/file/d/1PRGFLZrvGeZ4ecuy8iWOjbUha7OviqFK/view?usp=drive_link" TargetMode="External"/><Relationship Id="rId41" Type="http://schemas.openxmlformats.org/officeDocument/2006/relationships/hyperlink" Target="https://drive.google.com/file/d/1fBwcALxAfXBUIHaUkZ8YovouapyidvAD/view?usp=drive_link" TargetMode="External"/><Relationship Id="rId44" Type="http://schemas.openxmlformats.org/officeDocument/2006/relationships/hyperlink" Target="https://drive.google.com/file/d/1r6Lr3CoDJ7utTBGwNya5pu4saaiqQrZL/view?usp=drive_link" TargetMode="External"/><Relationship Id="rId43" Type="http://schemas.openxmlformats.org/officeDocument/2006/relationships/hyperlink" Target="https://drive.google.com/file/d/1r6Lr3CoDJ7utTBGwNya5pu4saaiqQrZL/view?usp=drive_link" TargetMode="External"/><Relationship Id="rId46" Type="http://schemas.openxmlformats.org/officeDocument/2006/relationships/hyperlink" Target="https://drive.google.com/file/d/1r6Lr3CoDJ7utTBGwNya5pu4saaiqQrZL/view?usp=drive_link" TargetMode="External"/><Relationship Id="rId45" Type="http://schemas.openxmlformats.org/officeDocument/2006/relationships/hyperlink" Target="https://drive.google.com/file/d/1r6Lr3CoDJ7utTBGwNya5pu4saaiqQrZL/view?usp=drive_link" TargetMode="External"/><Relationship Id="rId107" Type="http://schemas.openxmlformats.org/officeDocument/2006/relationships/hyperlink" Target="https://drive.google.com/file/d/1j0XvrtFUYqA_JHY0apd86gdUtFD7p3m8/view?usp=drive_link" TargetMode="External"/><Relationship Id="rId106" Type="http://schemas.openxmlformats.org/officeDocument/2006/relationships/hyperlink" Target="https://drive.google.com/file/d/1kqtfRDH_lRqREfAikUjS8YQdWholMoZc/view?usp=drive_link" TargetMode="External"/><Relationship Id="rId105" Type="http://schemas.openxmlformats.org/officeDocument/2006/relationships/hyperlink" Target="https://drive.google.com/file/d/1b79CX_2L1li5yDQAVKUpnR8zIO7Jk9a7/view?usp=drive_link" TargetMode="External"/><Relationship Id="rId104" Type="http://schemas.openxmlformats.org/officeDocument/2006/relationships/hyperlink" Target="https://drive.google.com/file/d/1b79CX_2L1li5yDQAVKUpnR8zIO7Jk9a7/view?usp=drive_link" TargetMode="External"/><Relationship Id="rId109" Type="http://schemas.openxmlformats.org/officeDocument/2006/relationships/drawing" Target="../drawings/drawing1.xml"/><Relationship Id="rId108" Type="http://schemas.openxmlformats.org/officeDocument/2006/relationships/hyperlink" Target="https://drive.google.com/file/d/1_00ZxuVUkBTKZAv9i75XQT7lHqo5c-1Q/view?usp=drive_link" TargetMode="External"/><Relationship Id="rId48" Type="http://schemas.openxmlformats.org/officeDocument/2006/relationships/hyperlink" Target="https://drive.google.com/file/d/1r6Lr3CoDJ7utTBGwNya5pu4saaiqQrZL/view?usp=drive_link" TargetMode="External"/><Relationship Id="rId47" Type="http://schemas.openxmlformats.org/officeDocument/2006/relationships/hyperlink" Target="https://drive.google.com/file/d/1r6Lr3CoDJ7utTBGwNya5pu4saaiqQrZL/view?usp=drive_link" TargetMode="External"/><Relationship Id="rId49" Type="http://schemas.openxmlformats.org/officeDocument/2006/relationships/hyperlink" Target="https://drive.google.com/file/d/1r6Lr3CoDJ7utTBGwNya5pu4saaiqQrZL/view?usp=drive_link" TargetMode="External"/><Relationship Id="rId103" Type="http://schemas.openxmlformats.org/officeDocument/2006/relationships/hyperlink" Target="https://drive.google.com/file/d/1b79CX_2L1li5yDQAVKUpnR8zIO7Jk9a7/view?usp=drive_link" TargetMode="External"/><Relationship Id="rId102" Type="http://schemas.openxmlformats.org/officeDocument/2006/relationships/hyperlink" Target="https://drive.google.com/file/d/1b79CX_2L1li5yDQAVKUpnR8zIO7Jk9a7/view?usp=drive_link" TargetMode="External"/><Relationship Id="rId101" Type="http://schemas.openxmlformats.org/officeDocument/2006/relationships/hyperlink" Target="https://drive.google.com/file/d/1b79CX_2L1li5yDQAVKUpnR8zIO7Jk9a7/view?usp=drive_link" TargetMode="External"/><Relationship Id="rId100" Type="http://schemas.openxmlformats.org/officeDocument/2006/relationships/hyperlink" Target="https://drive.google.com/file/d/1EtZ1pnqo4iAQxeT04da5nJbHROTKp2jc/view?usp=drive_link" TargetMode="External"/><Relationship Id="rId31" Type="http://schemas.openxmlformats.org/officeDocument/2006/relationships/hyperlink" Target="https://drive.google.com/file/d/1npNRDdJGn6war3tvVwzitGbeHbZKYPLQ/view?usp=drive_link" TargetMode="External"/><Relationship Id="rId30" Type="http://schemas.openxmlformats.org/officeDocument/2006/relationships/hyperlink" Target="https://drive.google.com/file/d/1jLsE0YFjECrVdd_s8EQSeB9ROJcMPgNo/view?usp=sharing" TargetMode="External"/><Relationship Id="rId33" Type="http://schemas.openxmlformats.org/officeDocument/2006/relationships/hyperlink" Target="https://drive.google.com/file/d/1LyYM6sX4EKtMCjl_IgFS82XP8iYlAIct/view?usp=drive_link" TargetMode="External"/><Relationship Id="rId32" Type="http://schemas.openxmlformats.org/officeDocument/2006/relationships/hyperlink" Target="https://drive.google.com/file/d/1TTENeqtQmrLN0Iimh62baMcBK1bzsgWr/view?usp=drive_link" TargetMode="External"/><Relationship Id="rId35" Type="http://schemas.openxmlformats.org/officeDocument/2006/relationships/hyperlink" Target="https://drive.google.com/file/d/10qCzrawwn5txBialq8BJY_eKkDaDfjkV/view?usp=drive_link" TargetMode="External"/><Relationship Id="rId34" Type="http://schemas.openxmlformats.org/officeDocument/2006/relationships/hyperlink" Target="https://drive.google.com/file/d/1WIXQXVomMkxgP2HXa2jE_EmQXFjtbpUi/view?usp=drive_link" TargetMode="External"/><Relationship Id="rId37" Type="http://schemas.openxmlformats.org/officeDocument/2006/relationships/hyperlink" Target="https://drive.google.com/file/d/1bDC65Nf1i5-4-4N8liLDnBa44dSSsybz/view?usp=drive_link" TargetMode="External"/><Relationship Id="rId36" Type="http://schemas.openxmlformats.org/officeDocument/2006/relationships/hyperlink" Target="https://drive.google.com/file/d/1chwlc2VF0xMxe3BOnCkg3IsQPXDuszMt/view?usp=drive_link" TargetMode="External"/><Relationship Id="rId39" Type="http://schemas.openxmlformats.org/officeDocument/2006/relationships/hyperlink" Target="https://drive.google.com/file/d/1VY79APBdo8kvfYgXEL3HXD8s0PzifJiW/view?usp=drive_link" TargetMode="External"/><Relationship Id="rId38" Type="http://schemas.openxmlformats.org/officeDocument/2006/relationships/hyperlink" Target="https://drive.google.com/file/d/1_00ZxuVUkBTKZAv9i75XQT7lHqo5c-1Q/view?usp=drive_link" TargetMode="External"/><Relationship Id="rId20" Type="http://schemas.openxmlformats.org/officeDocument/2006/relationships/hyperlink" Target="https://drive.google.com/file/d/1bDC65Nf1i5-4-4N8liLDnBa44dSSsybz/view?usp=drive_link" TargetMode="External"/><Relationship Id="rId22" Type="http://schemas.openxmlformats.org/officeDocument/2006/relationships/hyperlink" Target="https://drive.google.com/file/d/1dGK-FTTgLg5FCW-t7eN3dKu3Ury2zjiu/view?usp=drive_link" TargetMode="External"/><Relationship Id="rId21" Type="http://schemas.openxmlformats.org/officeDocument/2006/relationships/hyperlink" Target="https://drive.google.com/file/d/1KFBX2KYyNoxGE352PL2WSdt4aEwb80OP/view?usp=drive_link" TargetMode="External"/><Relationship Id="rId24" Type="http://schemas.openxmlformats.org/officeDocument/2006/relationships/hyperlink" Target="https://drive.google.com/file/d/1r76aKpMlVv1-Ao_XErbdksdqgsbzzS5J/view?usp=drive_link" TargetMode="External"/><Relationship Id="rId23" Type="http://schemas.openxmlformats.org/officeDocument/2006/relationships/hyperlink" Target="https://drive.google.com/file/d/1I4gOE4OiuYauWp5CadlbFEh4TzkhW2Xo/view?usp=drive_link" TargetMode="External"/><Relationship Id="rId26" Type="http://schemas.openxmlformats.org/officeDocument/2006/relationships/hyperlink" Target="https://drive.google.com/file/d/1fBwcALxAfXBUIHaUkZ8YovouapyidvAD/view?usp=drive_link" TargetMode="External"/><Relationship Id="rId25" Type="http://schemas.openxmlformats.org/officeDocument/2006/relationships/hyperlink" Target="https://drive.google.com/file/d/1ApL4qdcQTJVIzQjk3qVliNYh4ZIzioSF/view?usp=drive_link" TargetMode="External"/><Relationship Id="rId28" Type="http://schemas.openxmlformats.org/officeDocument/2006/relationships/hyperlink" Target="https://drive.google.com/file/d/1XYUy9UKfpFtYW9slRH6fX-UctFqA7lvB/view?usp=drive_link" TargetMode="External"/><Relationship Id="rId27" Type="http://schemas.openxmlformats.org/officeDocument/2006/relationships/hyperlink" Target="https://drive.google.com/file/d/1YM-XWuvOHvmOCTO0gwqnwh0ZbBp3byFM/view?usp=drive_link" TargetMode="External"/><Relationship Id="rId29" Type="http://schemas.openxmlformats.org/officeDocument/2006/relationships/hyperlink" Target="https://drive.google.com/file/d/1dGK-FTTgLg5FCW-t7eN3dKu3Ury2zjiu/view?usp=drive_link" TargetMode="External"/><Relationship Id="rId95" Type="http://schemas.openxmlformats.org/officeDocument/2006/relationships/hyperlink" Target="https://drive.google.com/file/d/1b79CX_2L1li5yDQAVKUpnR8zIO7Jk9a7/view?usp=drive_link" TargetMode="External"/><Relationship Id="rId94" Type="http://schemas.openxmlformats.org/officeDocument/2006/relationships/hyperlink" Target="https://drive.google.com/file/d/1SIZZ7L8nXgDFi1jXCWoHgXMnJERktzV-/view?usp=drive_link" TargetMode="External"/><Relationship Id="rId97" Type="http://schemas.openxmlformats.org/officeDocument/2006/relationships/hyperlink" Target="https://drive.google.com/file/d/1b79CX_2L1li5yDQAVKUpnR8zIO7Jk9a7/view?usp=drive_link" TargetMode="External"/><Relationship Id="rId96" Type="http://schemas.openxmlformats.org/officeDocument/2006/relationships/hyperlink" Target="https://drive.google.com/file/d/1b79CX_2L1li5yDQAVKUpnR8zIO7Jk9a7/view?usp=drive_link" TargetMode="External"/><Relationship Id="rId11" Type="http://schemas.openxmlformats.org/officeDocument/2006/relationships/hyperlink" Target="https://drive.google.com/file/d/16nicE3BeB14tEnoZEBVP2NKl_0qgmRpZ/view?usp=drive_link" TargetMode="External"/><Relationship Id="rId99" Type="http://schemas.openxmlformats.org/officeDocument/2006/relationships/hyperlink" Target="https://drive.google.com/file/d/1b79CX_2L1li5yDQAVKUpnR8zIO7Jk9a7/view?usp=drive_link" TargetMode="External"/><Relationship Id="rId10" Type="http://schemas.openxmlformats.org/officeDocument/2006/relationships/hyperlink" Target="https://drive.google.com/file/d/16nicE3BeB14tEnoZEBVP2NKl_0qgmRpZ/view?usp=drive_link" TargetMode="External"/><Relationship Id="rId98" Type="http://schemas.openxmlformats.org/officeDocument/2006/relationships/hyperlink" Target="https://drive.google.com/file/d/1b79CX_2L1li5yDQAVKUpnR8zIO7Jk9a7/view?usp=drive_link" TargetMode="External"/><Relationship Id="rId13" Type="http://schemas.openxmlformats.org/officeDocument/2006/relationships/hyperlink" Target="https://drive.google.com/file/d/16nicE3BeB14tEnoZEBVP2NKl_0qgmRpZ/view?usp=drive_link" TargetMode="External"/><Relationship Id="rId12" Type="http://schemas.openxmlformats.org/officeDocument/2006/relationships/hyperlink" Target="https://drive.google.com/file/d/16nicE3BeB14tEnoZEBVP2NKl_0qgmRpZ/view?usp=drive_link" TargetMode="External"/><Relationship Id="rId91" Type="http://schemas.openxmlformats.org/officeDocument/2006/relationships/hyperlink" Target="https://drive.google.com/file/d/1jsysC_n29vTBRSwjw5xAhHK4h1VGcj4T/view?usp=drive_link" TargetMode="External"/><Relationship Id="rId90" Type="http://schemas.openxmlformats.org/officeDocument/2006/relationships/hyperlink" Target="https://drive.google.com/file/d/1jsysC_n29vTBRSwjw5xAhHK4h1VGcj4T/view?usp=drive_link" TargetMode="External"/><Relationship Id="rId93" Type="http://schemas.openxmlformats.org/officeDocument/2006/relationships/hyperlink" Target="https://drive.google.com/file/d/1SIZZ7L8nXgDFi1jXCWoHgXMnJERktzV-/view?usp=drive_link" TargetMode="External"/><Relationship Id="rId92" Type="http://schemas.openxmlformats.org/officeDocument/2006/relationships/hyperlink" Target="https://drive.google.com/file/d/1jsysC_n29vTBRSwjw5xAhHK4h1VGcj4T/view?usp=drive_link" TargetMode="External"/><Relationship Id="rId15" Type="http://schemas.openxmlformats.org/officeDocument/2006/relationships/hyperlink" Target="https://drive.google.com/file/d/1chwlc2VF0xMxe3BOnCkg3IsQPXDuszMt/view?usp=drive_link" TargetMode="External"/><Relationship Id="rId14" Type="http://schemas.openxmlformats.org/officeDocument/2006/relationships/hyperlink" Target="https://drive.google.com/file/d/11CoRKEKDUwCZiQvha9PgV56LHeS9Okze/view?usp=drive_link" TargetMode="External"/><Relationship Id="rId17" Type="http://schemas.openxmlformats.org/officeDocument/2006/relationships/hyperlink" Target="https://drive.google.com/file/d/1DBEKZQCR6S7FkQ2yoigYkEwP9zi60E0U/view?usp=drive_link" TargetMode="External"/><Relationship Id="rId16" Type="http://schemas.openxmlformats.org/officeDocument/2006/relationships/hyperlink" Target="https://drive.google.com/file/d/1chwlc2VF0xMxe3BOnCkg3IsQPXDuszMt/view?usp=drive_link" TargetMode="External"/><Relationship Id="rId19" Type="http://schemas.openxmlformats.org/officeDocument/2006/relationships/hyperlink" Target="https://drive.google.com/file/d/1YM-XWuvOHvmOCTO0gwqnwh0ZbBp3byFM/view?usp=drive_link" TargetMode="External"/><Relationship Id="rId18" Type="http://schemas.openxmlformats.org/officeDocument/2006/relationships/hyperlink" Target="https://drive.google.com/file/d/1chwlc2VF0xMxe3BOnCkg3IsQPXDuszMt/view?usp=drive_link" TargetMode="External"/><Relationship Id="rId84" Type="http://schemas.openxmlformats.org/officeDocument/2006/relationships/hyperlink" Target="https://drive.google.com/file/d/1jsysC_n29vTBRSwjw5xAhHK4h1VGcj4T/view?usp=drive_link" TargetMode="External"/><Relationship Id="rId83" Type="http://schemas.openxmlformats.org/officeDocument/2006/relationships/hyperlink" Target="https://drive.google.com/file/d/1XsoRBet8jPaNUyfSxr-SrO660D5D9EYy/view?usp=drive_link" TargetMode="External"/><Relationship Id="rId86" Type="http://schemas.openxmlformats.org/officeDocument/2006/relationships/hyperlink" Target="https://drive.google.com/file/d/1jsysC_n29vTBRSwjw5xAhHK4h1VGcj4T/view?usp=drive_link" TargetMode="External"/><Relationship Id="rId85" Type="http://schemas.openxmlformats.org/officeDocument/2006/relationships/hyperlink" Target="https://drive.google.com/file/d/1jsysC_n29vTBRSwjw5xAhHK4h1VGcj4T/view?usp=drive_link" TargetMode="External"/><Relationship Id="rId88" Type="http://schemas.openxmlformats.org/officeDocument/2006/relationships/hyperlink" Target="https://drive.google.com/file/d/1jsysC_n29vTBRSwjw5xAhHK4h1VGcj4T/view?usp=drive_link" TargetMode="External"/><Relationship Id="rId87" Type="http://schemas.openxmlformats.org/officeDocument/2006/relationships/hyperlink" Target="https://drive.google.com/file/d/1jsysC_n29vTBRSwjw5xAhHK4h1VGcj4T/view?usp=drive_link" TargetMode="External"/><Relationship Id="rId89" Type="http://schemas.openxmlformats.org/officeDocument/2006/relationships/hyperlink" Target="https://drive.google.com/file/d/1jsysC_n29vTBRSwjw5xAhHK4h1VGcj4T/view?usp=drive_link" TargetMode="External"/><Relationship Id="rId80" Type="http://schemas.openxmlformats.org/officeDocument/2006/relationships/hyperlink" Target="https://drive.google.com/file/d/1jsysC_n29vTBRSwjw5xAhHK4h1VGcj4T/view?usp=drive_link" TargetMode="External"/><Relationship Id="rId82" Type="http://schemas.openxmlformats.org/officeDocument/2006/relationships/hyperlink" Target="https://drive.google.com/file/d/1jsysC_n29vTBRSwjw5xAhHK4h1VGcj4T/view?usp=drive_link" TargetMode="External"/><Relationship Id="rId81" Type="http://schemas.openxmlformats.org/officeDocument/2006/relationships/hyperlink" Target="https://drive.google.com/file/d/1jsysC_n29vTBRSwjw5xAhHK4h1VGcj4T/view?usp=drive_link" TargetMode="External"/><Relationship Id="rId1" Type="http://schemas.openxmlformats.org/officeDocument/2006/relationships/hyperlink" Target="https://drive.google.com/file/d/1r0hWRl_H8JRvbxzk0gSUhITG9C9etRA0/view?usp=drive_link" TargetMode="External"/><Relationship Id="rId2" Type="http://schemas.openxmlformats.org/officeDocument/2006/relationships/hyperlink" Target="https://drive.google.com/file/d/1AYq470sNXpzqDtUf-4Vfn_XAlLMKnjvI/view?usp=drive_link" TargetMode="External"/><Relationship Id="rId3" Type="http://schemas.openxmlformats.org/officeDocument/2006/relationships/hyperlink" Target="https://drive.google.com/file/d/1r76aKpMlVv1-Ao_XErbdksdqgsbzzS5J/view?usp=drive_link" TargetMode="External"/><Relationship Id="rId4" Type="http://schemas.openxmlformats.org/officeDocument/2006/relationships/hyperlink" Target="https://drive.google.com/file/d/16nicE3BeB14tEnoZEBVP2NKl_0qgmRpZ/view?usp=drive_link" TargetMode="External"/><Relationship Id="rId9" Type="http://schemas.openxmlformats.org/officeDocument/2006/relationships/hyperlink" Target="https://drive.google.com/file/d/1xkjQ6wkIp6VTDul7lNqitky81DFl-ogr/view?usp=drive_link" TargetMode="External"/><Relationship Id="rId5" Type="http://schemas.openxmlformats.org/officeDocument/2006/relationships/hyperlink" Target="https://drive.google.com/file/d/16nicE3BeB14tEnoZEBVP2NKl_0qgmRpZ/view?usp=drive_link" TargetMode="External"/><Relationship Id="rId6" Type="http://schemas.openxmlformats.org/officeDocument/2006/relationships/hyperlink" Target="https://drive.google.com/file/d/16nicE3BeB14tEnoZEBVP2NKl_0qgmRpZ/view?usp=drive_link" TargetMode="External"/><Relationship Id="rId7" Type="http://schemas.openxmlformats.org/officeDocument/2006/relationships/hyperlink" Target="https://drive.google.com/file/d/16nicE3BeB14tEnoZEBVP2NKl_0qgmRpZ/view?usp=drive_link" TargetMode="External"/><Relationship Id="rId8" Type="http://schemas.openxmlformats.org/officeDocument/2006/relationships/hyperlink" Target="https://drive.google.com/file/d/1xkjQ6wkIp6VTDul7lNqitky81DFl-ogr/view?usp=drive_link" TargetMode="External"/><Relationship Id="rId73" Type="http://schemas.openxmlformats.org/officeDocument/2006/relationships/hyperlink" Target="https://drive.google.com/file/d/1jsysC_n29vTBRSwjw5xAhHK4h1VGcj4T/view?usp=drive_link" TargetMode="External"/><Relationship Id="rId72" Type="http://schemas.openxmlformats.org/officeDocument/2006/relationships/hyperlink" Target="https://drive.google.com/file/d/1jsysC_n29vTBRSwjw5xAhHK4h1VGcj4T/view?usp=drive_link" TargetMode="External"/><Relationship Id="rId75" Type="http://schemas.openxmlformats.org/officeDocument/2006/relationships/hyperlink" Target="https://drive.google.com/file/d/1lXucXaJyVLI8vgWsxS6zevyM3k8mlwRo/view?usp=drive_link" TargetMode="External"/><Relationship Id="rId74" Type="http://schemas.openxmlformats.org/officeDocument/2006/relationships/hyperlink" Target="https://drive.google.com/file/d/1jsysC_n29vTBRSwjw5xAhHK4h1VGcj4T/view?usp=drive_link" TargetMode="External"/><Relationship Id="rId77" Type="http://schemas.openxmlformats.org/officeDocument/2006/relationships/hyperlink" Target="https://drive.google.com/file/d/1avwdrpcjH3g25OffZKzHyfvkL8wqIUCg/view?usp=drive_link" TargetMode="External"/><Relationship Id="rId76" Type="http://schemas.openxmlformats.org/officeDocument/2006/relationships/hyperlink" Target="https://drive.google.com/file/d/1jsysC_n29vTBRSwjw5xAhHK4h1VGcj4T/view?usp=drive_link" TargetMode="External"/><Relationship Id="rId79" Type="http://schemas.openxmlformats.org/officeDocument/2006/relationships/hyperlink" Target="https://drive.google.com/file/d/1r6Lr3CoDJ7utTBGwNya5pu4saaiqQrZL/view?usp=drive_link" TargetMode="External"/><Relationship Id="rId78" Type="http://schemas.openxmlformats.org/officeDocument/2006/relationships/hyperlink" Target="https://drive.google.com/file/d/1r6Lr3CoDJ7utTBGwNya5pu4saaiqQrZL/view?usp=drive_link" TargetMode="External"/><Relationship Id="rId71" Type="http://schemas.openxmlformats.org/officeDocument/2006/relationships/hyperlink" Target="https://drive.google.com/file/d/1jsysC_n29vTBRSwjw5xAhHK4h1VGcj4T/view?usp=drive_link" TargetMode="External"/><Relationship Id="rId70" Type="http://schemas.openxmlformats.org/officeDocument/2006/relationships/hyperlink" Target="https://drive.google.com/file/d/1jsysC_n29vTBRSwjw5xAhHK4h1VGcj4T/view?usp=drive_link" TargetMode="External"/><Relationship Id="rId62" Type="http://schemas.openxmlformats.org/officeDocument/2006/relationships/hyperlink" Target="https://drive.google.com/file/d/1XYUy9UKfpFtYW9slRH6fX-UctFqA7lvB/view?usp=drive_link" TargetMode="External"/><Relationship Id="rId61" Type="http://schemas.openxmlformats.org/officeDocument/2006/relationships/hyperlink" Target="https://drive.google.com/file/d/1FronKPBjmxdDzBqBSGb7_fNFm5Hvu-tT/view?usp=drive_link" TargetMode="External"/><Relationship Id="rId64" Type="http://schemas.openxmlformats.org/officeDocument/2006/relationships/hyperlink" Target="https://drive.google.com/file/d/1r6Lr3CoDJ7utTBGwNya5pu4saaiqQrZL/view?usp=drive_link" TargetMode="External"/><Relationship Id="rId63" Type="http://schemas.openxmlformats.org/officeDocument/2006/relationships/hyperlink" Target="https://drive.google.com/file/d/1r6Lr3CoDJ7utTBGwNya5pu4saaiqQrZL/view?usp=drive_link" TargetMode="External"/><Relationship Id="rId66" Type="http://schemas.openxmlformats.org/officeDocument/2006/relationships/hyperlink" Target="https://drive.google.com/file/d/1v_YEyKjMl7PD7Fc2ITYNq8xTFhvAmsTX/view?usp=drive_link" TargetMode="External"/><Relationship Id="rId65" Type="http://schemas.openxmlformats.org/officeDocument/2006/relationships/hyperlink" Target="https://drive.google.com/file/d/1r6Lr3CoDJ7utTBGwNya5pu4saaiqQrZL/view?usp=drive_link" TargetMode="External"/><Relationship Id="rId68" Type="http://schemas.openxmlformats.org/officeDocument/2006/relationships/hyperlink" Target="https://drive.google.com/file/d/1avwdrpcjH3g25OffZKzHyfvkL8wqIUCg/view?usp=drive_link" TargetMode="External"/><Relationship Id="rId67" Type="http://schemas.openxmlformats.org/officeDocument/2006/relationships/hyperlink" Target="https://drive.google.com/file/d/1avwdrpcjH3g25OffZKzHyfvkL8wqIUCg/view?usp=drive_link" TargetMode="External"/><Relationship Id="rId60" Type="http://schemas.openxmlformats.org/officeDocument/2006/relationships/hyperlink" Target="https://drive.google.com/file/d/1QWbVZ9siAR4O2iSPHpWdJW0nfPqvu4UD/view?usp=drive_link" TargetMode="External"/><Relationship Id="rId69" Type="http://schemas.openxmlformats.org/officeDocument/2006/relationships/hyperlink" Target="https://drive.google.com/file/d/1jsysC_n29vTBRSwjw5xAhHK4h1VGcj4T/view?usp=drive_link" TargetMode="External"/><Relationship Id="rId51" Type="http://schemas.openxmlformats.org/officeDocument/2006/relationships/hyperlink" Target="https://drive.google.com/file/d/1r6Lr3CoDJ7utTBGwNya5pu4saaiqQrZL/view?usp=drive_link" TargetMode="External"/><Relationship Id="rId50" Type="http://schemas.openxmlformats.org/officeDocument/2006/relationships/hyperlink" Target="https://drive.google.com/file/d/1r6Lr3CoDJ7utTBGwNya5pu4saaiqQrZL/view?usp=drive_link" TargetMode="External"/><Relationship Id="rId53" Type="http://schemas.openxmlformats.org/officeDocument/2006/relationships/hyperlink" Target="https://drive.google.com/file/d/17l40y7d7XWde3JLUlia66wCtwjf9mjNO/view?usp=drive_link" TargetMode="External"/><Relationship Id="rId52" Type="http://schemas.openxmlformats.org/officeDocument/2006/relationships/hyperlink" Target="https://drive.google.com/file/d/1ISc9EoMDjYdOgdSQG_90h0_g1bHedOXM/view?usp=drive_link" TargetMode="External"/><Relationship Id="rId55" Type="http://schemas.openxmlformats.org/officeDocument/2006/relationships/hyperlink" Target="https://drive.google.com/file/d/1r6Lr3CoDJ7utTBGwNya5pu4saaiqQrZL/view?usp=drive_link" TargetMode="External"/><Relationship Id="rId54" Type="http://schemas.openxmlformats.org/officeDocument/2006/relationships/hyperlink" Target="https://drive.google.com/file/d/1r6Lr3CoDJ7utTBGwNya5pu4saaiqQrZL/view?usp=drive_link" TargetMode="External"/><Relationship Id="rId57" Type="http://schemas.openxmlformats.org/officeDocument/2006/relationships/hyperlink" Target="https://drive.google.com/file/d/1QWbVZ9siAR4O2iSPHpWdJW0nfPqvu4UD/view?usp=sharing" TargetMode="External"/><Relationship Id="rId56" Type="http://schemas.openxmlformats.org/officeDocument/2006/relationships/hyperlink" Target="https://drive.google.com/file/d/1r6Lr3CoDJ7utTBGwNya5pu4saaiqQrZL/view?usp=drive_link" TargetMode="External"/><Relationship Id="rId59" Type="http://schemas.openxmlformats.org/officeDocument/2006/relationships/hyperlink" Target="https://drive.google.com/file/d/1QWbVZ9siAR4O2iSPHpWdJW0nfPqvu4UD/view?usp=drive_link" TargetMode="External"/><Relationship Id="rId58" Type="http://schemas.openxmlformats.org/officeDocument/2006/relationships/hyperlink" Target="https://drive.google.com/file/d/1Ns6Vm-LMTHV0jJsoZGrxebYpCf21lZ1v/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VY79APBdo8kvfYgXEL3HXD8s0PzifJiW/view?usp=drive_link" TargetMode="External"/><Relationship Id="rId42" Type="http://schemas.openxmlformats.org/officeDocument/2006/relationships/hyperlink" Target="https://drive.google.com/file/d/1PRGFLZrvGeZ4ecuy8iWOjbUha7OviqFK/view?usp=drive_link" TargetMode="External"/><Relationship Id="rId41" Type="http://schemas.openxmlformats.org/officeDocument/2006/relationships/hyperlink" Target="https://drive.google.com/file/d/1fBwcALxAfXBUIHaUkZ8YovouapyidvAD/view?usp=drive_link" TargetMode="External"/><Relationship Id="rId44" Type="http://schemas.openxmlformats.org/officeDocument/2006/relationships/hyperlink" Target="https://drive.google.com/file/d/1r6Lr3CoDJ7utTBGwNya5pu4saaiqQrZL/view?usp=drive_link" TargetMode="External"/><Relationship Id="rId43" Type="http://schemas.openxmlformats.org/officeDocument/2006/relationships/hyperlink" Target="https://drive.google.com/file/d/1r6Lr3CoDJ7utTBGwNya5pu4saaiqQrZL/view?usp=drive_link" TargetMode="External"/><Relationship Id="rId46" Type="http://schemas.openxmlformats.org/officeDocument/2006/relationships/hyperlink" Target="https://drive.google.com/file/d/1r6Lr3CoDJ7utTBGwNya5pu4saaiqQrZL/view?usp=drive_link" TargetMode="External"/><Relationship Id="rId45" Type="http://schemas.openxmlformats.org/officeDocument/2006/relationships/hyperlink" Target="https://drive.google.com/file/d/1r6Lr3CoDJ7utTBGwNya5pu4saaiqQrZL/view?usp=drive_link" TargetMode="External"/><Relationship Id="rId107" Type="http://schemas.openxmlformats.org/officeDocument/2006/relationships/hyperlink" Target="https://drive.google.com/file/d/1j0XvrtFUYqA_JHY0apd86gdUtFD7p3m8/view?usp=drive_link" TargetMode="External"/><Relationship Id="rId106" Type="http://schemas.openxmlformats.org/officeDocument/2006/relationships/hyperlink" Target="https://drive.google.com/file/d/1kqtfRDH_lRqREfAikUjS8YQdWholMoZc/view?usp=drive_link" TargetMode="External"/><Relationship Id="rId105" Type="http://schemas.openxmlformats.org/officeDocument/2006/relationships/hyperlink" Target="https://drive.google.com/file/d/1b79CX_2L1li5yDQAVKUpnR8zIO7Jk9a7/view?usp=drive_link" TargetMode="External"/><Relationship Id="rId104" Type="http://schemas.openxmlformats.org/officeDocument/2006/relationships/hyperlink" Target="https://drive.google.com/file/d/1b79CX_2L1li5yDQAVKUpnR8zIO7Jk9a7/view?usp=drive_link" TargetMode="External"/><Relationship Id="rId109" Type="http://schemas.openxmlformats.org/officeDocument/2006/relationships/drawing" Target="../drawings/drawing2.xml"/><Relationship Id="rId108" Type="http://schemas.openxmlformats.org/officeDocument/2006/relationships/hyperlink" Target="https://drive.google.com/file/d/1_00ZxuVUkBTKZAv9i75XQT7lHqo5c-1Q/view?usp=drive_link" TargetMode="External"/><Relationship Id="rId48" Type="http://schemas.openxmlformats.org/officeDocument/2006/relationships/hyperlink" Target="https://drive.google.com/file/d/1r6Lr3CoDJ7utTBGwNya5pu4saaiqQrZL/view?usp=drive_link" TargetMode="External"/><Relationship Id="rId47" Type="http://schemas.openxmlformats.org/officeDocument/2006/relationships/hyperlink" Target="https://drive.google.com/file/d/1r6Lr3CoDJ7utTBGwNya5pu4saaiqQrZL/view?usp=drive_link" TargetMode="External"/><Relationship Id="rId49" Type="http://schemas.openxmlformats.org/officeDocument/2006/relationships/hyperlink" Target="https://drive.google.com/file/d/1r6Lr3CoDJ7utTBGwNya5pu4saaiqQrZL/view?usp=drive_link" TargetMode="External"/><Relationship Id="rId103" Type="http://schemas.openxmlformats.org/officeDocument/2006/relationships/hyperlink" Target="https://drive.google.com/file/d/1b79CX_2L1li5yDQAVKUpnR8zIO7Jk9a7/view?usp=drive_link" TargetMode="External"/><Relationship Id="rId102" Type="http://schemas.openxmlformats.org/officeDocument/2006/relationships/hyperlink" Target="https://drive.google.com/file/d/1b79CX_2L1li5yDQAVKUpnR8zIO7Jk9a7/view?usp=drive_link" TargetMode="External"/><Relationship Id="rId101" Type="http://schemas.openxmlformats.org/officeDocument/2006/relationships/hyperlink" Target="https://drive.google.com/file/d/1b79CX_2L1li5yDQAVKUpnR8zIO7Jk9a7/view?usp=drive_link" TargetMode="External"/><Relationship Id="rId100" Type="http://schemas.openxmlformats.org/officeDocument/2006/relationships/hyperlink" Target="https://drive.google.com/file/d/1EtZ1pnqo4iAQxeT04da5nJbHROTKp2jc/view?usp=drive_link" TargetMode="External"/><Relationship Id="rId31" Type="http://schemas.openxmlformats.org/officeDocument/2006/relationships/hyperlink" Target="https://drive.google.com/file/d/1npNRDdJGn6war3tvVwzitGbeHbZKYPLQ/view?usp=drive_link" TargetMode="External"/><Relationship Id="rId30" Type="http://schemas.openxmlformats.org/officeDocument/2006/relationships/hyperlink" Target="https://drive.google.com/file/d/1jLsE0YFjECrVdd_s8EQSeB9ROJcMPgNo/view?usp=sharing" TargetMode="External"/><Relationship Id="rId33" Type="http://schemas.openxmlformats.org/officeDocument/2006/relationships/hyperlink" Target="https://drive.google.com/file/d/1LyYM6sX4EKtMCjl_IgFS82XP8iYlAIct/view?usp=drive_link" TargetMode="External"/><Relationship Id="rId32" Type="http://schemas.openxmlformats.org/officeDocument/2006/relationships/hyperlink" Target="https://drive.google.com/file/d/1TTENeqtQmrLN0Iimh62baMcBK1bzsgWr/view?usp=drive_link" TargetMode="External"/><Relationship Id="rId35" Type="http://schemas.openxmlformats.org/officeDocument/2006/relationships/hyperlink" Target="https://drive.google.com/file/d/10qCzrawwn5txBialq8BJY_eKkDaDfjkV/view?usp=drive_link" TargetMode="External"/><Relationship Id="rId34" Type="http://schemas.openxmlformats.org/officeDocument/2006/relationships/hyperlink" Target="https://drive.google.com/file/d/1WIXQXVomMkxgP2HXa2jE_EmQXFjtbpUi/view?usp=drive_link" TargetMode="External"/><Relationship Id="rId37" Type="http://schemas.openxmlformats.org/officeDocument/2006/relationships/hyperlink" Target="https://drive.google.com/file/d/1bDC65Nf1i5-4-4N8liLDnBa44dSSsybz/view?usp=drive_link" TargetMode="External"/><Relationship Id="rId36" Type="http://schemas.openxmlformats.org/officeDocument/2006/relationships/hyperlink" Target="https://drive.google.com/file/d/1chwlc2VF0xMxe3BOnCkg3IsQPXDuszMt/view?usp=drive_link" TargetMode="External"/><Relationship Id="rId39" Type="http://schemas.openxmlformats.org/officeDocument/2006/relationships/hyperlink" Target="https://drive.google.com/file/d/1VY79APBdo8kvfYgXEL3HXD8s0PzifJiW/view?usp=drive_link" TargetMode="External"/><Relationship Id="rId38" Type="http://schemas.openxmlformats.org/officeDocument/2006/relationships/hyperlink" Target="https://drive.google.com/file/d/1_00ZxuVUkBTKZAv9i75XQT7lHqo5c-1Q/view?usp=drive_link" TargetMode="External"/><Relationship Id="rId20" Type="http://schemas.openxmlformats.org/officeDocument/2006/relationships/hyperlink" Target="https://drive.google.com/file/d/1bDC65Nf1i5-4-4N8liLDnBa44dSSsybz/view?usp=drive_link" TargetMode="External"/><Relationship Id="rId22" Type="http://schemas.openxmlformats.org/officeDocument/2006/relationships/hyperlink" Target="https://drive.google.com/file/d/1dGK-FTTgLg5FCW-t7eN3dKu3Ury2zjiu/view?usp=drive_link" TargetMode="External"/><Relationship Id="rId21" Type="http://schemas.openxmlformats.org/officeDocument/2006/relationships/hyperlink" Target="https://drive.google.com/file/d/1KFBX2KYyNoxGE352PL2WSdt4aEwb80OP/view?usp=drive_link" TargetMode="External"/><Relationship Id="rId24" Type="http://schemas.openxmlformats.org/officeDocument/2006/relationships/hyperlink" Target="https://drive.google.com/file/d/1r76aKpMlVv1-Ao_XErbdksdqgsbzzS5J/view?usp=drive_link" TargetMode="External"/><Relationship Id="rId23" Type="http://schemas.openxmlformats.org/officeDocument/2006/relationships/hyperlink" Target="https://drive.google.com/file/d/1I4gOE4OiuYauWp5CadlbFEh4TzkhW2Xo/view?usp=drive_link" TargetMode="External"/><Relationship Id="rId26" Type="http://schemas.openxmlformats.org/officeDocument/2006/relationships/hyperlink" Target="https://drive.google.com/file/d/1fBwcALxAfXBUIHaUkZ8YovouapyidvAD/view?usp=drive_link" TargetMode="External"/><Relationship Id="rId25" Type="http://schemas.openxmlformats.org/officeDocument/2006/relationships/hyperlink" Target="https://drive.google.com/file/d/1ApL4qdcQTJVIzQjk3qVliNYh4ZIzioSF/view?usp=drive_link" TargetMode="External"/><Relationship Id="rId28" Type="http://schemas.openxmlformats.org/officeDocument/2006/relationships/hyperlink" Target="https://drive.google.com/file/d/1XYUy9UKfpFtYW9slRH6fX-UctFqA7lvB/view?usp=drive_link" TargetMode="External"/><Relationship Id="rId27" Type="http://schemas.openxmlformats.org/officeDocument/2006/relationships/hyperlink" Target="https://drive.google.com/file/d/1YM-XWuvOHvmOCTO0gwqnwh0ZbBp3byFM/view?usp=drive_link" TargetMode="External"/><Relationship Id="rId29" Type="http://schemas.openxmlformats.org/officeDocument/2006/relationships/hyperlink" Target="https://drive.google.com/file/d/1dGK-FTTgLg5FCW-t7eN3dKu3Ury2zjiu/view?usp=drive_link" TargetMode="External"/><Relationship Id="rId95" Type="http://schemas.openxmlformats.org/officeDocument/2006/relationships/hyperlink" Target="https://drive.google.com/file/d/1b79CX_2L1li5yDQAVKUpnR8zIO7Jk9a7/view?usp=drive_link" TargetMode="External"/><Relationship Id="rId94" Type="http://schemas.openxmlformats.org/officeDocument/2006/relationships/hyperlink" Target="https://drive.google.com/file/d/1SIZZ7L8nXgDFi1jXCWoHgXMnJERktzV-/view?usp=drive_link" TargetMode="External"/><Relationship Id="rId97" Type="http://schemas.openxmlformats.org/officeDocument/2006/relationships/hyperlink" Target="https://drive.google.com/file/d/1b79CX_2L1li5yDQAVKUpnR8zIO7Jk9a7/view?usp=drive_link" TargetMode="External"/><Relationship Id="rId96" Type="http://schemas.openxmlformats.org/officeDocument/2006/relationships/hyperlink" Target="https://drive.google.com/file/d/1b79CX_2L1li5yDQAVKUpnR8zIO7Jk9a7/view?usp=drive_link" TargetMode="External"/><Relationship Id="rId11" Type="http://schemas.openxmlformats.org/officeDocument/2006/relationships/hyperlink" Target="https://drive.google.com/file/d/16nicE3BeB14tEnoZEBVP2NKl_0qgmRpZ/view?usp=drive_link" TargetMode="External"/><Relationship Id="rId99" Type="http://schemas.openxmlformats.org/officeDocument/2006/relationships/hyperlink" Target="https://drive.google.com/file/d/1b79CX_2L1li5yDQAVKUpnR8zIO7Jk9a7/view?usp=drive_link" TargetMode="External"/><Relationship Id="rId10" Type="http://schemas.openxmlformats.org/officeDocument/2006/relationships/hyperlink" Target="https://drive.google.com/file/d/16nicE3BeB14tEnoZEBVP2NKl_0qgmRpZ/view?usp=drive_link" TargetMode="External"/><Relationship Id="rId98" Type="http://schemas.openxmlformats.org/officeDocument/2006/relationships/hyperlink" Target="https://drive.google.com/file/d/1b79CX_2L1li5yDQAVKUpnR8zIO7Jk9a7/view?usp=drive_link" TargetMode="External"/><Relationship Id="rId13" Type="http://schemas.openxmlformats.org/officeDocument/2006/relationships/hyperlink" Target="https://drive.google.com/file/d/16nicE3BeB14tEnoZEBVP2NKl_0qgmRpZ/view?usp=drive_link" TargetMode="External"/><Relationship Id="rId12" Type="http://schemas.openxmlformats.org/officeDocument/2006/relationships/hyperlink" Target="https://drive.google.com/file/d/16nicE3BeB14tEnoZEBVP2NKl_0qgmRpZ/view?usp=drive_link" TargetMode="External"/><Relationship Id="rId91" Type="http://schemas.openxmlformats.org/officeDocument/2006/relationships/hyperlink" Target="https://drive.google.com/file/d/1jsysC_n29vTBRSwjw5xAhHK4h1VGcj4T/view?usp=drive_link" TargetMode="External"/><Relationship Id="rId90" Type="http://schemas.openxmlformats.org/officeDocument/2006/relationships/hyperlink" Target="https://drive.google.com/file/d/1jsysC_n29vTBRSwjw5xAhHK4h1VGcj4T/view?usp=drive_link" TargetMode="External"/><Relationship Id="rId93" Type="http://schemas.openxmlformats.org/officeDocument/2006/relationships/hyperlink" Target="https://drive.google.com/file/d/1SIZZ7L8nXgDFi1jXCWoHgXMnJERktzV-/view?usp=drive_link" TargetMode="External"/><Relationship Id="rId92" Type="http://schemas.openxmlformats.org/officeDocument/2006/relationships/hyperlink" Target="https://drive.google.com/file/d/1jsysC_n29vTBRSwjw5xAhHK4h1VGcj4T/view?usp=drive_link" TargetMode="External"/><Relationship Id="rId15" Type="http://schemas.openxmlformats.org/officeDocument/2006/relationships/hyperlink" Target="https://drive.google.com/file/d/1chwlc2VF0xMxe3BOnCkg3IsQPXDuszMt/view?usp=drive_link" TargetMode="External"/><Relationship Id="rId14" Type="http://schemas.openxmlformats.org/officeDocument/2006/relationships/hyperlink" Target="https://drive.google.com/file/d/11CoRKEKDUwCZiQvha9PgV56LHeS9Okze/view?usp=drive_link" TargetMode="External"/><Relationship Id="rId17" Type="http://schemas.openxmlformats.org/officeDocument/2006/relationships/hyperlink" Target="https://drive.google.com/file/d/1DBEKZQCR6S7FkQ2yoigYkEwP9zi60E0U/view?usp=drive_link" TargetMode="External"/><Relationship Id="rId16" Type="http://schemas.openxmlformats.org/officeDocument/2006/relationships/hyperlink" Target="https://drive.google.com/file/d/1chwlc2VF0xMxe3BOnCkg3IsQPXDuszMt/view?usp=drive_link" TargetMode="External"/><Relationship Id="rId19" Type="http://schemas.openxmlformats.org/officeDocument/2006/relationships/hyperlink" Target="https://drive.google.com/file/d/1YM-XWuvOHvmOCTO0gwqnwh0ZbBp3byFM/view?usp=drive_link" TargetMode="External"/><Relationship Id="rId18" Type="http://schemas.openxmlformats.org/officeDocument/2006/relationships/hyperlink" Target="https://drive.google.com/file/d/1chwlc2VF0xMxe3BOnCkg3IsQPXDuszMt/view?usp=drive_link" TargetMode="External"/><Relationship Id="rId84" Type="http://schemas.openxmlformats.org/officeDocument/2006/relationships/hyperlink" Target="https://drive.google.com/file/d/1jsysC_n29vTBRSwjw5xAhHK4h1VGcj4T/view?usp=drive_link" TargetMode="External"/><Relationship Id="rId83" Type="http://schemas.openxmlformats.org/officeDocument/2006/relationships/hyperlink" Target="https://drive.google.com/file/d/1XsoRBet8jPaNUyfSxr-SrO660D5D9EYy/view?usp=drive_link" TargetMode="External"/><Relationship Id="rId86" Type="http://schemas.openxmlformats.org/officeDocument/2006/relationships/hyperlink" Target="https://drive.google.com/file/d/1jsysC_n29vTBRSwjw5xAhHK4h1VGcj4T/view?usp=drive_link" TargetMode="External"/><Relationship Id="rId85" Type="http://schemas.openxmlformats.org/officeDocument/2006/relationships/hyperlink" Target="https://drive.google.com/file/d/1jsysC_n29vTBRSwjw5xAhHK4h1VGcj4T/view?usp=drive_link" TargetMode="External"/><Relationship Id="rId88" Type="http://schemas.openxmlformats.org/officeDocument/2006/relationships/hyperlink" Target="https://drive.google.com/file/d/1jsysC_n29vTBRSwjw5xAhHK4h1VGcj4T/view?usp=drive_link" TargetMode="External"/><Relationship Id="rId87" Type="http://schemas.openxmlformats.org/officeDocument/2006/relationships/hyperlink" Target="https://drive.google.com/file/d/1jsysC_n29vTBRSwjw5xAhHK4h1VGcj4T/view?usp=drive_link" TargetMode="External"/><Relationship Id="rId89" Type="http://schemas.openxmlformats.org/officeDocument/2006/relationships/hyperlink" Target="https://drive.google.com/file/d/1jsysC_n29vTBRSwjw5xAhHK4h1VGcj4T/view?usp=drive_link" TargetMode="External"/><Relationship Id="rId80" Type="http://schemas.openxmlformats.org/officeDocument/2006/relationships/hyperlink" Target="https://drive.google.com/file/d/1jsysC_n29vTBRSwjw5xAhHK4h1VGcj4T/view?usp=drive_link" TargetMode="External"/><Relationship Id="rId82" Type="http://schemas.openxmlformats.org/officeDocument/2006/relationships/hyperlink" Target="https://drive.google.com/file/d/1jsysC_n29vTBRSwjw5xAhHK4h1VGcj4T/view?usp=drive_link" TargetMode="External"/><Relationship Id="rId81" Type="http://schemas.openxmlformats.org/officeDocument/2006/relationships/hyperlink" Target="https://drive.google.com/file/d/1jsysC_n29vTBRSwjw5xAhHK4h1VGcj4T/view?usp=drive_link" TargetMode="External"/><Relationship Id="rId1" Type="http://schemas.openxmlformats.org/officeDocument/2006/relationships/hyperlink" Target="https://drive.google.com/file/d/1r0hWRl_H8JRvbxzk0gSUhITG9C9etRA0/view?usp=drive_link" TargetMode="External"/><Relationship Id="rId2" Type="http://schemas.openxmlformats.org/officeDocument/2006/relationships/hyperlink" Target="https://drive.google.com/file/d/1AYq470sNXpzqDtUf-4Vfn_XAlLMKnjvI/view?usp=drive_link" TargetMode="External"/><Relationship Id="rId3" Type="http://schemas.openxmlformats.org/officeDocument/2006/relationships/hyperlink" Target="https://drive.google.com/file/d/1r76aKpMlVv1-Ao_XErbdksdqgsbzzS5J/view?usp=drive_link" TargetMode="External"/><Relationship Id="rId4" Type="http://schemas.openxmlformats.org/officeDocument/2006/relationships/hyperlink" Target="https://drive.google.com/file/d/16nicE3BeB14tEnoZEBVP2NKl_0qgmRpZ/view?usp=drive_link" TargetMode="External"/><Relationship Id="rId9" Type="http://schemas.openxmlformats.org/officeDocument/2006/relationships/hyperlink" Target="https://drive.google.com/file/d/1xkjQ6wkIp6VTDul7lNqitky81DFl-ogr/view?usp=drive_link" TargetMode="External"/><Relationship Id="rId5" Type="http://schemas.openxmlformats.org/officeDocument/2006/relationships/hyperlink" Target="https://drive.google.com/file/d/16nicE3BeB14tEnoZEBVP2NKl_0qgmRpZ/view?usp=drive_link" TargetMode="External"/><Relationship Id="rId6" Type="http://schemas.openxmlformats.org/officeDocument/2006/relationships/hyperlink" Target="https://drive.google.com/file/d/16nicE3BeB14tEnoZEBVP2NKl_0qgmRpZ/view?usp=drive_link" TargetMode="External"/><Relationship Id="rId7" Type="http://schemas.openxmlformats.org/officeDocument/2006/relationships/hyperlink" Target="https://drive.google.com/file/d/16nicE3BeB14tEnoZEBVP2NKl_0qgmRpZ/view?usp=drive_link" TargetMode="External"/><Relationship Id="rId8" Type="http://schemas.openxmlformats.org/officeDocument/2006/relationships/hyperlink" Target="https://drive.google.com/file/d/1xkjQ6wkIp6VTDul7lNqitky81DFl-ogr/view?usp=drive_link" TargetMode="External"/><Relationship Id="rId73" Type="http://schemas.openxmlformats.org/officeDocument/2006/relationships/hyperlink" Target="https://drive.google.com/file/d/1jsysC_n29vTBRSwjw5xAhHK4h1VGcj4T/view?usp=drive_link" TargetMode="External"/><Relationship Id="rId72" Type="http://schemas.openxmlformats.org/officeDocument/2006/relationships/hyperlink" Target="https://drive.google.com/file/d/1jsysC_n29vTBRSwjw5xAhHK4h1VGcj4T/view?usp=drive_link" TargetMode="External"/><Relationship Id="rId75" Type="http://schemas.openxmlformats.org/officeDocument/2006/relationships/hyperlink" Target="https://drive.google.com/file/d/1lXucXaJyVLI8vgWsxS6zevyM3k8mlwRo/view?usp=drive_link" TargetMode="External"/><Relationship Id="rId74" Type="http://schemas.openxmlformats.org/officeDocument/2006/relationships/hyperlink" Target="https://drive.google.com/file/d/1jsysC_n29vTBRSwjw5xAhHK4h1VGcj4T/view?usp=drive_link" TargetMode="External"/><Relationship Id="rId77" Type="http://schemas.openxmlformats.org/officeDocument/2006/relationships/hyperlink" Target="https://drive.google.com/file/d/1avwdrpcjH3g25OffZKzHyfvkL8wqIUCg/view?usp=drive_link" TargetMode="External"/><Relationship Id="rId76" Type="http://schemas.openxmlformats.org/officeDocument/2006/relationships/hyperlink" Target="https://drive.google.com/file/d/1jsysC_n29vTBRSwjw5xAhHK4h1VGcj4T/view?usp=drive_link" TargetMode="External"/><Relationship Id="rId79" Type="http://schemas.openxmlformats.org/officeDocument/2006/relationships/hyperlink" Target="https://drive.google.com/file/d/1r6Lr3CoDJ7utTBGwNya5pu4saaiqQrZL/view?usp=drive_link" TargetMode="External"/><Relationship Id="rId78" Type="http://schemas.openxmlformats.org/officeDocument/2006/relationships/hyperlink" Target="https://drive.google.com/file/d/1r6Lr3CoDJ7utTBGwNya5pu4saaiqQrZL/view?usp=drive_link" TargetMode="External"/><Relationship Id="rId71" Type="http://schemas.openxmlformats.org/officeDocument/2006/relationships/hyperlink" Target="https://drive.google.com/file/d/1jsysC_n29vTBRSwjw5xAhHK4h1VGcj4T/view?usp=drive_link" TargetMode="External"/><Relationship Id="rId70" Type="http://schemas.openxmlformats.org/officeDocument/2006/relationships/hyperlink" Target="https://drive.google.com/file/d/1jsysC_n29vTBRSwjw5xAhHK4h1VGcj4T/view?usp=drive_link" TargetMode="External"/><Relationship Id="rId62" Type="http://schemas.openxmlformats.org/officeDocument/2006/relationships/hyperlink" Target="https://drive.google.com/file/d/1XYUy9UKfpFtYW9slRH6fX-UctFqA7lvB/view?usp=drive_link" TargetMode="External"/><Relationship Id="rId61" Type="http://schemas.openxmlformats.org/officeDocument/2006/relationships/hyperlink" Target="https://drive.google.com/file/d/1FronKPBjmxdDzBqBSGb7_fNFm5Hvu-tT/view?usp=drive_link" TargetMode="External"/><Relationship Id="rId64" Type="http://schemas.openxmlformats.org/officeDocument/2006/relationships/hyperlink" Target="https://drive.google.com/file/d/1r6Lr3CoDJ7utTBGwNya5pu4saaiqQrZL/view?usp=drive_link" TargetMode="External"/><Relationship Id="rId63" Type="http://schemas.openxmlformats.org/officeDocument/2006/relationships/hyperlink" Target="https://drive.google.com/file/d/1r6Lr3CoDJ7utTBGwNya5pu4saaiqQrZL/view?usp=drive_link" TargetMode="External"/><Relationship Id="rId66" Type="http://schemas.openxmlformats.org/officeDocument/2006/relationships/hyperlink" Target="https://drive.google.com/file/d/1v_YEyKjMl7PD7Fc2ITYNq8xTFhvAmsTX/view?usp=drive_link" TargetMode="External"/><Relationship Id="rId65" Type="http://schemas.openxmlformats.org/officeDocument/2006/relationships/hyperlink" Target="https://drive.google.com/file/d/1r6Lr3CoDJ7utTBGwNya5pu4saaiqQrZL/view?usp=drive_link" TargetMode="External"/><Relationship Id="rId68" Type="http://schemas.openxmlformats.org/officeDocument/2006/relationships/hyperlink" Target="https://drive.google.com/file/d/1avwdrpcjH3g25OffZKzHyfvkL8wqIUCg/view?usp=drive_link" TargetMode="External"/><Relationship Id="rId67" Type="http://schemas.openxmlformats.org/officeDocument/2006/relationships/hyperlink" Target="https://drive.google.com/file/d/1avwdrpcjH3g25OffZKzHyfvkL8wqIUCg/view?usp=drive_link" TargetMode="External"/><Relationship Id="rId60" Type="http://schemas.openxmlformats.org/officeDocument/2006/relationships/hyperlink" Target="https://drive.google.com/file/d/1QWbVZ9siAR4O2iSPHpWdJW0nfPqvu4UD/view?usp=drive_link" TargetMode="External"/><Relationship Id="rId69" Type="http://schemas.openxmlformats.org/officeDocument/2006/relationships/hyperlink" Target="https://drive.google.com/file/d/1jsysC_n29vTBRSwjw5xAhHK4h1VGcj4T/view?usp=drive_link" TargetMode="External"/><Relationship Id="rId51" Type="http://schemas.openxmlformats.org/officeDocument/2006/relationships/hyperlink" Target="https://drive.google.com/file/d/1r6Lr3CoDJ7utTBGwNya5pu4saaiqQrZL/view?usp=drive_link" TargetMode="External"/><Relationship Id="rId50" Type="http://schemas.openxmlformats.org/officeDocument/2006/relationships/hyperlink" Target="https://drive.google.com/file/d/1r6Lr3CoDJ7utTBGwNya5pu4saaiqQrZL/view?usp=drive_link" TargetMode="External"/><Relationship Id="rId53" Type="http://schemas.openxmlformats.org/officeDocument/2006/relationships/hyperlink" Target="https://drive.google.com/file/d/17l40y7d7XWde3JLUlia66wCtwjf9mjNO/view?usp=drive_link" TargetMode="External"/><Relationship Id="rId52" Type="http://schemas.openxmlformats.org/officeDocument/2006/relationships/hyperlink" Target="https://drive.google.com/file/d/1ISc9EoMDjYdOgdSQG_90h0_g1bHedOXM/view?usp=drive_link" TargetMode="External"/><Relationship Id="rId55" Type="http://schemas.openxmlformats.org/officeDocument/2006/relationships/hyperlink" Target="https://drive.google.com/file/d/1r6Lr3CoDJ7utTBGwNya5pu4saaiqQrZL/view?usp=drive_link" TargetMode="External"/><Relationship Id="rId54" Type="http://schemas.openxmlformats.org/officeDocument/2006/relationships/hyperlink" Target="https://drive.google.com/file/d/1r6Lr3CoDJ7utTBGwNya5pu4saaiqQrZL/view?usp=drive_link" TargetMode="External"/><Relationship Id="rId57" Type="http://schemas.openxmlformats.org/officeDocument/2006/relationships/hyperlink" Target="https://drive.google.com/file/d/1QWbVZ9siAR4O2iSPHpWdJW0nfPqvu4UD/view?usp=sharing" TargetMode="External"/><Relationship Id="rId56" Type="http://schemas.openxmlformats.org/officeDocument/2006/relationships/hyperlink" Target="https://drive.google.com/file/d/1r6Lr3CoDJ7utTBGwNya5pu4saaiqQrZL/view?usp=drive_link" TargetMode="External"/><Relationship Id="rId59" Type="http://schemas.openxmlformats.org/officeDocument/2006/relationships/hyperlink" Target="https://drive.google.com/file/d/1QWbVZ9siAR4O2iSPHpWdJW0nfPqvu4UD/view?usp=drive_link" TargetMode="External"/><Relationship Id="rId58" Type="http://schemas.openxmlformats.org/officeDocument/2006/relationships/hyperlink" Target="https://drive.google.com/file/d/1Ns6Vm-LMTHV0jJsoZGrxebYpCf21lZ1v/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57"/>
    <col customWidth="1" min="2" max="2" width="34.86"/>
    <col customWidth="1" min="3" max="3" width="22.71"/>
    <col customWidth="1" min="4" max="4" width="31.86"/>
    <col customWidth="1" min="5" max="5" width="45.29"/>
    <col customWidth="1" min="6" max="6" width="29.71"/>
    <col customWidth="1" min="7" max="26" width="8.71"/>
  </cols>
  <sheetData>
    <row r="1" ht="12.0" customHeight="1">
      <c r="A1" s="1" t="s">
        <v>0</v>
      </c>
    </row>
    <row r="2" ht="34.5" customHeight="1">
      <c r="A2" s="2" t="s">
        <v>1</v>
      </c>
    </row>
    <row r="3" ht="25.5" customHeight="1">
      <c r="A3" s="3" t="s">
        <v>2</v>
      </c>
      <c r="B3" s="4" t="s">
        <v>3</v>
      </c>
      <c r="C3" s="5" t="s">
        <v>4</v>
      </c>
      <c r="D3" s="6" t="s">
        <v>5</v>
      </c>
      <c r="E3" s="3" t="s">
        <v>6</v>
      </c>
      <c r="F3" s="7" t="s">
        <v>7</v>
      </c>
    </row>
    <row r="4" ht="12.0" customHeight="1">
      <c r="A4" s="8" t="s">
        <v>8</v>
      </c>
      <c r="B4" s="9"/>
      <c r="C4" s="9"/>
      <c r="D4" s="9"/>
      <c r="E4" s="10"/>
      <c r="F4" s="11"/>
    </row>
    <row r="5" ht="29.25" customHeight="1">
      <c r="A5" s="12">
        <v>1.0</v>
      </c>
      <c r="B5" s="13" t="s">
        <v>9</v>
      </c>
      <c r="C5" s="14" t="s">
        <v>10</v>
      </c>
      <c r="D5" s="15" t="s">
        <v>11</v>
      </c>
      <c r="E5" s="14" t="s">
        <v>12</v>
      </c>
      <c r="F5" s="16" t="s">
        <v>13</v>
      </c>
    </row>
    <row r="6" ht="24.0" customHeight="1">
      <c r="A6" s="12">
        <v>2.0</v>
      </c>
      <c r="B6" s="14" t="s">
        <v>14</v>
      </c>
      <c r="C6" s="14" t="s">
        <v>15</v>
      </c>
      <c r="D6" s="15" t="s">
        <v>16</v>
      </c>
      <c r="E6" s="13" t="s">
        <v>17</v>
      </c>
      <c r="F6" s="17"/>
    </row>
    <row r="7" ht="12.0" customHeight="1">
      <c r="A7" s="18" t="s">
        <v>18</v>
      </c>
      <c r="B7" s="9"/>
      <c r="C7" s="9"/>
      <c r="D7" s="9"/>
      <c r="E7" s="9"/>
      <c r="F7" s="10"/>
    </row>
    <row r="8" ht="24.0" customHeight="1">
      <c r="A8" s="12">
        <v>1.0</v>
      </c>
      <c r="B8" s="14" t="s">
        <v>19</v>
      </c>
      <c r="C8" s="14" t="s">
        <v>20</v>
      </c>
      <c r="D8" s="15" t="s">
        <v>21</v>
      </c>
      <c r="E8" s="13" t="s">
        <v>22</v>
      </c>
      <c r="F8" s="17"/>
    </row>
    <row r="9" ht="24.0" customHeight="1">
      <c r="A9" s="12">
        <v>2.0</v>
      </c>
      <c r="B9" s="14" t="s">
        <v>23</v>
      </c>
      <c r="C9" s="14" t="s">
        <v>24</v>
      </c>
      <c r="D9" s="15" t="s">
        <v>25</v>
      </c>
      <c r="E9" s="13" t="s">
        <v>26</v>
      </c>
      <c r="F9" s="17"/>
    </row>
    <row r="10" ht="25.5" customHeight="1">
      <c r="A10" s="12">
        <v>3.0</v>
      </c>
      <c r="B10" s="14" t="s">
        <v>27</v>
      </c>
      <c r="C10" s="14" t="s">
        <v>28</v>
      </c>
      <c r="D10" s="14" t="s">
        <v>29</v>
      </c>
      <c r="E10" s="19" t="s">
        <v>30</v>
      </c>
      <c r="F10" s="20" t="s">
        <v>31</v>
      </c>
    </row>
    <row r="11" ht="48.0" customHeight="1">
      <c r="A11" s="12">
        <v>4.0</v>
      </c>
      <c r="B11" s="14" t="s">
        <v>32</v>
      </c>
      <c r="C11" s="14" t="s">
        <v>33</v>
      </c>
      <c r="D11" s="21" t="s">
        <v>34</v>
      </c>
      <c r="E11" s="19" t="s">
        <v>35</v>
      </c>
      <c r="F11" s="22" t="s">
        <v>36</v>
      </c>
    </row>
    <row r="12" ht="45.0" customHeight="1">
      <c r="A12" s="12">
        <v>5.0</v>
      </c>
      <c r="B12" s="14" t="s">
        <v>37</v>
      </c>
      <c r="C12" s="14" t="s">
        <v>38</v>
      </c>
      <c r="D12" s="23"/>
      <c r="E12" s="19" t="s">
        <v>39</v>
      </c>
      <c r="F12" s="24" t="s">
        <v>40</v>
      </c>
    </row>
    <row r="13" ht="24.0" customHeight="1">
      <c r="A13" s="12">
        <v>6.0</v>
      </c>
      <c r="B13" s="14" t="s">
        <v>41</v>
      </c>
      <c r="C13" s="14" t="s">
        <v>42</v>
      </c>
      <c r="D13" s="23"/>
      <c r="E13" s="14" t="s">
        <v>43</v>
      </c>
      <c r="F13" s="25" t="s">
        <v>44</v>
      </c>
    </row>
    <row r="14" ht="24.0" customHeight="1">
      <c r="A14" s="12">
        <v>7.0</v>
      </c>
      <c r="B14" s="14" t="s">
        <v>45</v>
      </c>
      <c r="C14" s="14" t="s">
        <v>46</v>
      </c>
      <c r="D14" s="23"/>
      <c r="E14" s="14" t="s">
        <v>47</v>
      </c>
      <c r="F14" s="25" t="s">
        <v>44</v>
      </c>
    </row>
    <row r="15" ht="23.25" customHeight="1">
      <c r="A15" s="12">
        <v>8.0</v>
      </c>
      <c r="B15" s="14" t="s">
        <v>48</v>
      </c>
      <c r="C15" s="14" t="s">
        <v>49</v>
      </c>
      <c r="D15" s="23"/>
      <c r="E15" s="14" t="s">
        <v>50</v>
      </c>
      <c r="F15" s="25" t="s">
        <v>44</v>
      </c>
    </row>
    <row r="16" ht="24.0" customHeight="1">
      <c r="A16" s="12">
        <v>9.0</v>
      </c>
      <c r="B16" s="14" t="s">
        <v>51</v>
      </c>
      <c r="C16" s="14" t="s">
        <v>52</v>
      </c>
      <c r="D16" s="23"/>
      <c r="E16" s="19" t="s">
        <v>53</v>
      </c>
      <c r="F16" s="22" t="s">
        <v>54</v>
      </c>
    </row>
    <row r="17" ht="24.0" customHeight="1">
      <c r="A17" s="12">
        <v>10.0</v>
      </c>
      <c r="B17" s="14" t="s">
        <v>55</v>
      </c>
      <c r="C17" s="14" t="s">
        <v>56</v>
      </c>
      <c r="D17" s="26"/>
      <c r="E17" s="19" t="s">
        <v>57</v>
      </c>
      <c r="F17" s="22" t="s">
        <v>58</v>
      </c>
    </row>
    <row r="18" ht="44.25" customHeight="1">
      <c r="A18" s="12">
        <v>11.0</v>
      </c>
      <c r="B18" s="14" t="s">
        <v>59</v>
      </c>
      <c r="C18" s="14" t="s">
        <v>60</v>
      </c>
      <c r="D18" s="21" t="s">
        <v>61</v>
      </c>
      <c r="E18" s="19" t="s">
        <v>62</v>
      </c>
      <c r="F18" s="22" t="s">
        <v>63</v>
      </c>
    </row>
    <row r="19" ht="24.0" customHeight="1">
      <c r="A19" s="12">
        <v>12.0</v>
      </c>
      <c r="B19" s="14" t="s">
        <v>64</v>
      </c>
      <c r="C19" s="14" t="s">
        <v>65</v>
      </c>
      <c r="D19" s="23"/>
      <c r="E19" s="14" t="s">
        <v>66</v>
      </c>
      <c r="F19" s="25" t="s">
        <v>44</v>
      </c>
    </row>
    <row r="20" ht="24.0" customHeight="1">
      <c r="A20" s="12">
        <v>13.0</v>
      </c>
      <c r="B20" s="14" t="s">
        <v>67</v>
      </c>
      <c r="C20" s="14" t="s">
        <v>68</v>
      </c>
      <c r="D20" s="23"/>
      <c r="E20" s="14" t="s">
        <v>69</v>
      </c>
      <c r="F20" s="25" t="s">
        <v>44</v>
      </c>
    </row>
    <row r="21" ht="24.0" customHeight="1">
      <c r="A21" s="12">
        <v>14.0</v>
      </c>
      <c r="B21" s="14" t="s">
        <v>70</v>
      </c>
      <c r="C21" s="14" t="s">
        <v>71</v>
      </c>
      <c r="D21" s="26"/>
      <c r="E21" s="14" t="s">
        <v>72</v>
      </c>
      <c r="F21" s="25" t="s">
        <v>44</v>
      </c>
    </row>
    <row r="22" ht="12.0" customHeight="1">
      <c r="A22" s="18" t="s">
        <v>73</v>
      </c>
      <c r="B22" s="9"/>
      <c r="C22" s="9"/>
      <c r="D22" s="9"/>
      <c r="E22" s="9"/>
      <c r="F22" s="10"/>
    </row>
    <row r="23" ht="24.0" customHeight="1">
      <c r="A23" s="12">
        <v>1.0</v>
      </c>
      <c r="B23" s="14" t="s">
        <v>74</v>
      </c>
      <c r="C23" s="14" t="s">
        <v>75</v>
      </c>
      <c r="D23" s="14" t="s">
        <v>76</v>
      </c>
      <c r="E23" s="14" t="s">
        <v>77</v>
      </c>
      <c r="F23" s="25" t="s">
        <v>78</v>
      </c>
    </row>
    <row r="24" ht="33.0" customHeight="1">
      <c r="A24" s="12">
        <v>2.0</v>
      </c>
      <c r="B24" s="14" t="s">
        <v>79</v>
      </c>
      <c r="C24" s="14" t="s">
        <v>80</v>
      </c>
      <c r="D24" s="14" t="s">
        <v>81</v>
      </c>
      <c r="E24" s="19" t="s">
        <v>82</v>
      </c>
      <c r="F24" s="22" t="s">
        <v>83</v>
      </c>
    </row>
    <row r="25" ht="33.0" customHeight="1">
      <c r="A25" s="12">
        <v>3.0</v>
      </c>
      <c r="B25" s="14" t="s">
        <v>84</v>
      </c>
      <c r="C25" s="14" t="s">
        <v>85</v>
      </c>
      <c r="D25" s="14" t="s">
        <v>86</v>
      </c>
      <c r="E25" s="14" t="s">
        <v>87</v>
      </c>
      <c r="F25" s="22" t="s">
        <v>83</v>
      </c>
    </row>
    <row r="26" ht="24.0" customHeight="1">
      <c r="A26" s="12">
        <v>4.0</v>
      </c>
      <c r="B26" s="14" t="s">
        <v>88</v>
      </c>
      <c r="C26" s="14" t="s">
        <v>89</v>
      </c>
      <c r="D26" s="14" t="s">
        <v>90</v>
      </c>
      <c r="E26" s="19" t="s">
        <v>91</v>
      </c>
      <c r="F26" s="22" t="s">
        <v>92</v>
      </c>
    </row>
    <row r="27" ht="24.0" customHeight="1">
      <c r="A27" s="12">
        <v>5.0</v>
      </c>
      <c r="B27" s="14" t="s">
        <v>93</v>
      </c>
      <c r="C27" s="14" t="s">
        <v>94</v>
      </c>
      <c r="D27" s="14" t="s">
        <v>95</v>
      </c>
      <c r="E27" s="13" t="s">
        <v>96</v>
      </c>
      <c r="F27" s="17"/>
    </row>
    <row r="28" ht="36.0" customHeight="1">
      <c r="A28" s="12">
        <v>6.0</v>
      </c>
      <c r="B28" s="14" t="s">
        <v>97</v>
      </c>
      <c r="C28" s="14" t="s">
        <v>98</v>
      </c>
      <c r="D28" s="14" t="s">
        <v>99</v>
      </c>
      <c r="E28" s="19" t="s">
        <v>100</v>
      </c>
      <c r="F28" s="22" t="s">
        <v>101</v>
      </c>
    </row>
    <row r="29" ht="12.0" customHeight="1">
      <c r="A29" s="18" t="s">
        <v>102</v>
      </c>
      <c r="B29" s="9"/>
      <c r="C29" s="9"/>
      <c r="D29" s="9"/>
      <c r="E29" s="10"/>
      <c r="F29" s="11"/>
    </row>
    <row r="30" ht="109.5" customHeight="1">
      <c r="A30" s="12">
        <v>1.0</v>
      </c>
      <c r="B30" s="14" t="s">
        <v>103</v>
      </c>
      <c r="C30" s="14" t="s">
        <v>104</v>
      </c>
      <c r="D30" s="15" t="s">
        <v>105</v>
      </c>
      <c r="E30" s="19" t="s">
        <v>106</v>
      </c>
      <c r="F30" s="24" t="s">
        <v>107</v>
      </c>
    </row>
    <row r="31" ht="36.75" customHeight="1">
      <c r="A31" s="12">
        <v>2.0</v>
      </c>
      <c r="B31" s="14" t="s">
        <v>108</v>
      </c>
      <c r="C31" s="14" t="s">
        <v>109</v>
      </c>
      <c r="D31" s="15" t="s">
        <v>110</v>
      </c>
      <c r="E31" s="19" t="s">
        <v>111</v>
      </c>
      <c r="F31" s="22" t="s">
        <v>112</v>
      </c>
    </row>
    <row r="32" ht="26.25" customHeight="1">
      <c r="A32" s="12">
        <v>3.0</v>
      </c>
      <c r="B32" s="14" t="s">
        <v>113</v>
      </c>
      <c r="C32" s="14" t="s">
        <v>114</v>
      </c>
      <c r="D32" s="15" t="s">
        <v>115</v>
      </c>
      <c r="E32" s="14" t="s">
        <v>116</v>
      </c>
      <c r="F32" s="25" t="s">
        <v>117</v>
      </c>
    </row>
    <row r="33" ht="25.5" customHeight="1">
      <c r="A33" s="12">
        <v>4.0</v>
      </c>
      <c r="B33" s="14" t="s">
        <v>118</v>
      </c>
      <c r="C33" s="14" t="s">
        <v>119</v>
      </c>
      <c r="D33" s="15" t="s">
        <v>120</v>
      </c>
      <c r="E33" s="19" t="s">
        <v>121</v>
      </c>
      <c r="F33" s="22" t="s">
        <v>122</v>
      </c>
    </row>
    <row r="34" ht="24.0" customHeight="1">
      <c r="A34" s="12">
        <v>5.0</v>
      </c>
      <c r="B34" s="27" t="s">
        <v>123</v>
      </c>
      <c r="C34" s="27" t="s">
        <v>124</v>
      </c>
      <c r="D34" s="28" t="s">
        <v>125</v>
      </c>
      <c r="E34" s="29" t="s">
        <v>126</v>
      </c>
      <c r="F34" s="20" t="s">
        <v>127</v>
      </c>
    </row>
    <row r="35" ht="27.0" customHeight="1">
      <c r="A35" s="12">
        <v>6.0</v>
      </c>
      <c r="B35" s="14" t="s">
        <v>128</v>
      </c>
      <c r="C35" s="14" t="s">
        <v>129</v>
      </c>
      <c r="D35" s="15" t="s">
        <v>130</v>
      </c>
      <c r="E35" s="19" t="s">
        <v>131</v>
      </c>
      <c r="F35" s="22" t="s">
        <v>132</v>
      </c>
    </row>
    <row r="36" ht="36.75" customHeight="1">
      <c r="A36" s="12">
        <v>7.0</v>
      </c>
      <c r="B36" s="14" t="s">
        <v>133</v>
      </c>
      <c r="C36" s="14" t="s">
        <v>134</v>
      </c>
      <c r="D36" s="15" t="s">
        <v>135</v>
      </c>
      <c r="E36" s="19" t="s">
        <v>136</v>
      </c>
      <c r="F36" s="22" t="s">
        <v>137</v>
      </c>
    </row>
    <row r="37" ht="26.25" customHeight="1">
      <c r="A37" s="12">
        <v>8.0</v>
      </c>
      <c r="B37" s="14" t="s">
        <v>138</v>
      </c>
      <c r="C37" s="14" t="s">
        <v>139</v>
      </c>
      <c r="D37" s="15" t="s">
        <v>140</v>
      </c>
      <c r="E37" s="19" t="s">
        <v>141</v>
      </c>
      <c r="F37" s="22" t="s">
        <v>142</v>
      </c>
    </row>
    <row r="38" ht="12.0" customHeight="1">
      <c r="A38" s="18" t="s">
        <v>143</v>
      </c>
      <c r="B38" s="9"/>
      <c r="C38" s="9"/>
      <c r="D38" s="9"/>
      <c r="E38" s="9"/>
      <c r="F38" s="10"/>
    </row>
    <row r="39" ht="23.25" customHeight="1">
      <c r="A39" s="12">
        <v>1.0</v>
      </c>
      <c r="B39" s="14" t="s">
        <v>144</v>
      </c>
      <c r="C39" s="14" t="s">
        <v>145</v>
      </c>
      <c r="D39" s="15" t="s">
        <v>146</v>
      </c>
      <c r="E39" s="19" t="s">
        <v>147</v>
      </c>
      <c r="F39" s="22" t="s">
        <v>148</v>
      </c>
    </row>
    <row r="40" ht="24.0" customHeight="1">
      <c r="A40" s="12">
        <v>2.0</v>
      </c>
      <c r="B40" s="14" t="s">
        <v>149</v>
      </c>
      <c r="C40" s="14" t="s">
        <v>150</v>
      </c>
      <c r="D40" s="15" t="s">
        <v>151</v>
      </c>
      <c r="E40" s="14" t="s">
        <v>152</v>
      </c>
      <c r="F40" s="30" t="s">
        <v>153</v>
      </c>
    </row>
    <row r="41" ht="24.0" customHeight="1">
      <c r="A41" s="12">
        <v>3.0</v>
      </c>
      <c r="B41" s="14" t="s">
        <v>154</v>
      </c>
      <c r="C41" s="14" t="s">
        <v>155</v>
      </c>
      <c r="D41" s="15" t="s">
        <v>156</v>
      </c>
      <c r="E41" s="19" t="s">
        <v>157</v>
      </c>
      <c r="F41" s="22" t="s">
        <v>158</v>
      </c>
    </row>
    <row r="42" ht="40.5" customHeight="1">
      <c r="A42" s="12">
        <v>4.0</v>
      </c>
      <c r="B42" s="14" t="s">
        <v>159</v>
      </c>
      <c r="C42" s="14" t="s">
        <v>160</v>
      </c>
      <c r="D42" s="15" t="s">
        <v>161</v>
      </c>
      <c r="E42" s="19" t="s">
        <v>162</v>
      </c>
      <c r="F42" s="31" t="s">
        <v>163</v>
      </c>
    </row>
    <row r="43" ht="34.5" customHeight="1">
      <c r="A43" s="12">
        <v>5.0</v>
      </c>
      <c r="B43" s="14" t="s">
        <v>164</v>
      </c>
      <c r="C43" s="14" t="s">
        <v>165</v>
      </c>
      <c r="D43" s="15" t="s">
        <v>166</v>
      </c>
      <c r="E43" s="14" t="s">
        <v>167</v>
      </c>
      <c r="F43" s="31" t="s">
        <v>168</v>
      </c>
    </row>
    <row r="44" ht="36.0" customHeight="1">
      <c r="A44" s="12">
        <v>6.0</v>
      </c>
      <c r="B44" s="14" t="s">
        <v>169</v>
      </c>
      <c r="C44" s="14" t="s">
        <v>170</v>
      </c>
      <c r="D44" s="15" t="s">
        <v>171</v>
      </c>
      <c r="E44" s="19" t="s">
        <v>172</v>
      </c>
      <c r="F44" s="31" t="s">
        <v>173</v>
      </c>
    </row>
    <row r="45" ht="24.0" customHeight="1">
      <c r="A45" s="12">
        <v>7.0</v>
      </c>
      <c r="B45" s="14" t="s">
        <v>174</v>
      </c>
      <c r="C45" s="14" t="s">
        <v>175</v>
      </c>
      <c r="D45" s="15" t="s">
        <v>176</v>
      </c>
      <c r="E45" s="19" t="s">
        <v>177</v>
      </c>
      <c r="F45" s="22" t="s">
        <v>178</v>
      </c>
    </row>
    <row r="46" ht="24.0" customHeight="1">
      <c r="A46" s="12">
        <v>8.0</v>
      </c>
      <c r="B46" s="14" t="s">
        <v>179</v>
      </c>
      <c r="C46" s="14" t="s">
        <v>180</v>
      </c>
      <c r="D46" s="15" t="s">
        <v>181</v>
      </c>
      <c r="E46" s="19" t="s">
        <v>182</v>
      </c>
      <c r="F46" s="22" t="s">
        <v>183</v>
      </c>
    </row>
    <row r="47" ht="24.0" customHeight="1">
      <c r="A47" s="12">
        <v>9.0</v>
      </c>
      <c r="B47" s="14" t="s">
        <v>184</v>
      </c>
      <c r="C47" s="14" t="s">
        <v>185</v>
      </c>
      <c r="D47" s="15" t="s">
        <v>186</v>
      </c>
      <c r="E47" s="14" t="s">
        <v>187</v>
      </c>
      <c r="F47" s="31" t="s">
        <v>188</v>
      </c>
    </row>
    <row r="48" ht="46.5" customHeight="1">
      <c r="A48" s="12">
        <v>10.0</v>
      </c>
      <c r="B48" s="14" t="s">
        <v>189</v>
      </c>
      <c r="C48" s="14" t="s">
        <v>190</v>
      </c>
      <c r="D48" s="15" t="s">
        <v>191</v>
      </c>
      <c r="E48" s="19" t="s">
        <v>192</v>
      </c>
      <c r="F48" s="31" t="s">
        <v>193</v>
      </c>
    </row>
    <row r="49" ht="72.75" customHeight="1">
      <c r="A49" s="12">
        <v>11.0</v>
      </c>
      <c r="B49" s="14" t="s">
        <v>194</v>
      </c>
      <c r="C49" s="14" t="s">
        <v>195</v>
      </c>
      <c r="D49" s="15" t="s">
        <v>196</v>
      </c>
      <c r="E49" s="19" t="s">
        <v>197</v>
      </c>
      <c r="F49" s="31" t="s">
        <v>198</v>
      </c>
    </row>
    <row r="50" ht="23.25" customHeight="1">
      <c r="A50" s="12">
        <v>12.0</v>
      </c>
      <c r="B50" s="14" t="s">
        <v>199</v>
      </c>
      <c r="C50" s="14" t="s">
        <v>200</v>
      </c>
      <c r="D50" s="15" t="s">
        <v>201</v>
      </c>
      <c r="E50" s="14" t="s">
        <v>202</v>
      </c>
      <c r="F50" s="25" t="s">
        <v>203</v>
      </c>
    </row>
    <row r="51" ht="24.0" customHeight="1">
      <c r="A51" s="12">
        <v>13.0</v>
      </c>
      <c r="B51" s="14" t="s">
        <v>204</v>
      </c>
      <c r="C51" s="14" t="s">
        <v>205</v>
      </c>
      <c r="D51" s="15" t="s">
        <v>206</v>
      </c>
      <c r="E51" s="19" t="s">
        <v>207</v>
      </c>
      <c r="F51" s="22" t="s">
        <v>208</v>
      </c>
    </row>
    <row r="52" ht="43.5" customHeight="1">
      <c r="A52" s="12">
        <v>14.0</v>
      </c>
      <c r="B52" s="14" t="s">
        <v>209</v>
      </c>
      <c r="C52" s="14" t="s">
        <v>210</v>
      </c>
      <c r="D52" s="14" t="s">
        <v>211</v>
      </c>
      <c r="E52" s="19" t="s">
        <v>212</v>
      </c>
      <c r="F52" s="31" t="s">
        <v>208</v>
      </c>
    </row>
    <row r="53" ht="12.0" customHeight="1">
      <c r="A53" s="18" t="s">
        <v>213</v>
      </c>
      <c r="B53" s="9"/>
      <c r="C53" s="9"/>
      <c r="D53" s="9"/>
      <c r="E53" s="9"/>
      <c r="F53" s="10"/>
    </row>
    <row r="54" ht="24.0" customHeight="1">
      <c r="A54" s="12">
        <v>1.0</v>
      </c>
      <c r="B54" s="14" t="s">
        <v>214</v>
      </c>
      <c r="C54" s="14" t="s">
        <v>215</v>
      </c>
      <c r="D54" s="15" t="s">
        <v>216</v>
      </c>
      <c r="E54" s="13" t="s">
        <v>217</v>
      </c>
      <c r="F54" s="17"/>
    </row>
    <row r="55" ht="35.25" customHeight="1">
      <c r="A55" s="12">
        <v>2.0</v>
      </c>
      <c r="B55" s="14" t="s">
        <v>218</v>
      </c>
      <c r="C55" s="14" t="s">
        <v>219</v>
      </c>
      <c r="D55" s="14" t="s">
        <v>220</v>
      </c>
      <c r="E55" s="19" t="s">
        <v>221</v>
      </c>
      <c r="F55" s="31" t="s">
        <v>142</v>
      </c>
    </row>
    <row r="56" ht="42.0" customHeight="1">
      <c r="A56" s="12">
        <v>3.0</v>
      </c>
      <c r="B56" s="14" t="s">
        <v>222</v>
      </c>
      <c r="C56" s="14" t="s">
        <v>223</v>
      </c>
      <c r="D56" s="15" t="s">
        <v>224</v>
      </c>
      <c r="E56" s="14" t="s">
        <v>225</v>
      </c>
      <c r="F56" s="24" t="s">
        <v>226</v>
      </c>
    </row>
    <row r="57" ht="57.75" customHeight="1">
      <c r="A57" s="12">
        <v>4.0</v>
      </c>
      <c r="B57" s="32" t="s">
        <v>227</v>
      </c>
      <c r="C57" s="14" t="s">
        <v>228</v>
      </c>
      <c r="D57" s="32" t="s">
        <v>229</v>
      </c>
      <c r="E57" s="32" t="s">
        <v>230</v>
      </c>
      <c r="F57" s="33" t="s">
        <v>231</v>
      </c>
      <c r="G57" s="34"/>
      <c r="H57" s="34"/>
      <c r="J57" s="34"/>
    </row>
    <row r="58" ht="66.75" customHeight="1">
      <c r="A58" s="12">
        <v>5.0</v>
      </c>
      <c r="B58" s="32" t="s">
        <v>232</v>
      </c>
      <c r="C58" s="14" t="s">
        <v>233</v>
      </c>
      <c r="D58" s="32" t="s">
        <v>234</v>
      </c>
      <c r="E58" s="19" t="s">
        <v>235</v>
      </c>
      <c r="F58" s="33" t="s">
        <v>231</v>
      </c>
      <c r="G58" s="34"/>
      <c r="H58" s="34"/>
      <c r="J58" s="34"/>
    </row>
    <row r="59" ht="49.5" customHeight="1">
      <c r="A59" s="12">
        <v>6.0</v>
      </c>
      <c r="B59" s="32" t="s">
        <v>236</v>
      </c>
      <c r="C59" s="19" t="s">
        <v>237</v>
      </c>
      <c r="D59" s="35" t="s">
        <v>238</v>
      </c>
      <c r="E59" s="19" t="s">
        <v>239</v>
      </c>
      <c r="F59" s="33" t="s">
        <v>231</v>
      </c>
      <c r="G59" s="34"/>
      <c r="H59" s="34"/>
      <c r="J59" s="34"/>
    </row>
    <row r="60" ht="81.0" customHeight="1">
      <c r="A60" s="12">
        <v>7.0</v>
      </c>
      <c r="B60" s="32" t="s">
        <v>240</v>
      </c>
      <c r="C60" s="19" t="s">
        <v>237</v>
      </c>
      <c r="D60" s="32" t="s">
        <v>241</v>
      </c>
      <c r="E60" s="19" t="s">
        <v>242</v>
      </c>
      <c r="F60" s="33" t="s">
        <v>231</v>
      </c>
      <c r="G60" s="34"/>
      <c r="H60" s="34"/>
      <c r="J60" s="34"/>
    </row>
    <row r="61" ht="53.25" customHeight="1">
      <c r="A61" s="12">
        <v>8.0</v>
      </c>
      <c r="B61" s="35" t="s">
        <v>243</v>
      </c>
      <c r="C61" s="14"/>
      <c r="D61" s="32" t="s">
        <v>244</v>
      </c>
      <c r="E61" s="14"/>
      <c r="F61" s="14"/>
      <c r="G61" s="34"/>
      <c r="H61" s="34"/>
      <c r="J61" s="34"/>
    </row>
    <row r="62" ht="75.75" customHeight="1">
      <c r="A62" s="12">
        <v>9.0</v>
      </c>
      <c r="B62" s="36" t="s">
        <v>245</v>
      </c>
      <c r="C62" s="19" t="s">
        <v>237</v>
      </c>
      <c r="D62" s="36" t="s">
        <v>246</v>
      </c>
      <c r="E62" s="32" t="s">
        <v>242</v>
      </c>
      <c r="F62" s="33" t="s">
        <v>231</v>
      </c>
      <c r="G62" s="34"/>
      <c r="H62" s="34"/>
      <c r="J62" s="34"/>
    </row>
    <row r="63" ht="75.0" customHeight="1">
      <c r="A63" s="12">
        <v>10.0</v>
      </c>
      <c r="B63" s="37" t="s">
        <v>247</v>
      </c>
      <c r="C63" s="19" t="s">
        <v>237</v>
      </c>
      <c r="D63" s="37" t="s">
        <v>248</v>
      </c>
      <c r="E63" s="32" t="s">
        <v>242</v>
      </c>
      <c r="F63" s="33" t="s">
        <v>231</v>
      </c>
      <c r="G63" s="34"/>
      <c r="H63" s="34"/>
      <c r="J63" s="34"/>
    </row>
    <row r="64" ht="51.0" customHeight="1">
      <c r="A64" s="12">
        <v>11.0</v>
      </c>
      <c r="B64" s="37" t="s">
        <v>249</v>
      </c>
      <c r="C64" s="19" t="s">
        <v>237</v>
      </c>
      <c r="D64" s="37" t="s">
        <v>250</v>
      </c>
      <c r="E64" s="32" t="s">
        <v>251</v>
      </c>
      <c r="F64" s="33" t="s">
        <v>231</v>
      </c>
      <c r="G64" s="34"/>
      <c r="H64" s="34"/>
      <c r="J64" s="34"/>
    </row>
    <row r="65" ht="75.75" customHeight="1">
      <c r="A65" s="12">
        <v>12.0</v>
      </c>
      <c r="B65" s="37" t="s">
        <v>252</v>
      </c>
      <c r="C65" s="14"/>
      <c r="D65" s="37" t="s">
        <v>241</v>
      </c>
      <c r="E65" s="19" t="s">
        <v>253</v>
      </c>
      <c r="F65" s="33" t="s">
        <v>231</v>
      </c>
      <c r="G65" s="34"/>
      <c r="H65" s="34"/>
      <c r="J65" s="34"/>
    </row>
    <row r="66" ht="51.0" customHeight="1">
      <c r="A66" s="12">
        <v>13.0</v>
      </c>
      <c r="B66" s="37" t="s">
        <v>254</v>
      </c>
      <c r="C66" s="14"/>
      <c r="D66" s="37" t="s">
        <v>255</v>
      </c>
      <c r="E66" s="19" t="s">
        <v>256</v>
      </c>
      <c r="F66" s="33" t="s">
        <v>231</v>
      </c>
      <c r="G66" s="34"/>
      <c r="H66" s="34"/>
      <c r="J66" s="34"/>
    </row>
    <row r="67" ht="43.5" customHeight="1">
      <c r="A67" s="12">
        <v>14.0</v>
      </c>
      <c r="B67" s="37" t="s">
        <v>257</v>
      </c>
      <c r="C67" s="14"/>
      <c r="D67" s="37" t="s">
        <v>258</v>
      </c>
      <c r="E67" s="19" t="s">
        <v>259</v>
      </c>
      <c r="F67" s="33" t="s">
        <v>260</v>
      </c>
      <c r="G67" s="34"/>
      <c r="H67" s="34"/>
      <c r="J67" s="34"/>
    </row>
    <row r="68" ht="30.75" customHeight="1">
      <c r="A68" s="12">
        <v>15.0</v>
      </c>
      <c r="B68" s="37" t="s">
        <v>261</v>
      </c>
      <c r="C68" s="14"/>
      <c r="D68" s="37" t="s">
        <v>262</v>
      </c>
      <c r="E68" s="19" t="s">
        <v>263</v>
      </c>
      <c r="F68" s="33" t="s">
        <v>264</v>
      </c>
      <c r="G68" s="34"/>
      <c r="H68" s="34"/>
      <c r="J68" s="34"/>
    </row>
    <row r="69" ht="51.75" customHeight="1">
      <c r="A69" s="12">
        <v>16.0</v>
      </c>
      <c r="B69" s="37" t="s">
        <v>265</v>
      </c>
      <c r="C69" s="14"/>
      <c r="D69" s="37" t="s">
        <v>266</v>
      </c>
      <c r="E69" s="38" t="s">
        <v>267</v>
      </c>
      <c r="F69" s="33" t="s">
        <v>231</v>
      </c>
      <c r="G69" s="34"/>
      <c r="H69" s="34"/>
      <c r="J69" s="34"/>
    </row>
    <row r="70" ht="30.0" customHeight="1">
      <c r="A70" s="12">
        <v>17.0</v>
      </c>
      <c r="B70" s="37" t="s">
        <v>268</v>
      </c>
      <c r="C70" s="14"/>
      <c r="D70" s="37" t="s">
        <v>269</v>
      </c>
      <c r="E70" s="38" t="s">
        <v>270</v>
      </c>
      <c r="F70" s="33" t="s">
        <v>271</v>
      </c>
      <c r="G70" s="34"/>
      <c r="H70" s="34"/>
      <c r="J70" s="34"/>
    </row>
    <row r="71" ht="31.5" customHeight="1">
      <c r="A71" s="12">
        <v>18.0</v>
      </c>
      <c r="B71" s="37" t="s">
        <v>272</v>
      </c>
      <c r="C71" s="14"/>
      <c r="D71" s="37" t="s">
        <v>273</v>
      </c>
      <c r="E71" s="38" t="s">
        <v>270</v>
      </c>
      <c r="F71" s="33" t="s">
        <v>271</v>
      </c>
      <c r="G71" s="34"/>
      <c r="H71" s="34"/>
      <c r="J71" s="34"/>
    </row>
    <row r="72" ht="12.75" customHeight="1">
      <c r="A72" s="12">
        <v>19.0</v>
      </c>
      <c r="B72" s="37" t="s">
        <v>274</v>
      </c>
      <c r="C72" s="14"/>
      <c r="D72" s="37" t="s">
        <v>275</v>
      </c>
      <c r="E72" s="38" t="s">
        <v>276</v>
      </c>
      <c r="F72" s="33" t="s">
        <v>277</v>
      </c>
      <c r="G72" s="34"/>
      <c r="H72" s="34"/>
      <c r="J72" s="34"/>
    </row>
    <row r="73" ht="12.75" customHeight="1">
      <c r="A73" s="12">
        <v>20.0</v>
      </c>
      <c r="B73" s="37" t="s">
        <v>278</v>
      </c>
      <c r="C73" s="14"/>
      <c r="D73" s="37" t="s">
        <v>279</v>
      </c>
      <c r="E73" s="38" t="s">
        <v>280</v>
      </c>
      <c r="F73" s="33" t="s">
        <v>281</v>
      </c>
      <c r="G73" s="34"/>
      <c r="H73" s="34"/>
      <c r="J73" s="34"/>
    </row>
    <row r="74" ht="12.75" customHeight="1">
      <c r="A74" s="12">
        <v>21.0</v>
      </c>
      <c r="B74" s="37" t="s">
        <v>282</v>
      </c>
      <c r="C74" s="14"/>
      <c r="D74" s="37" t="s">
        <v>283</v>
      </c>
      <c r="E74" s="19" t="s">
        <v>276</v>
      </c>
      <c r="F74" s="33" t="s">
        <v>277</v>
      </c>
      <c r="G74" s="34"/>
      <c r="H74" s="34"/>
      <c r="J74" s="34"/>
    </row>
    <row r="75" ht="12.75" customHeight="1">
      <c r="A75" s="12">
        <v>22.0</v>
      </c>
      <c r="B75" s="37" t="s">
        <v>284</v>
      </c>
      <c r="C75" s="14"/>
      <c r="D75" s="37" t="s">
        <v>285</v>
      </c>
      <c r="E75" s="19" t="s">
        <v>276</v>
      </c>
      <c r="F75" s="33" t="s">
        <v>277</v>
      </c>
      <c r="G75" s="34"/>
      <c r="H75" s="34"/>
      <c r="J75" s="34"/>
    </row>
    <row r="76" ht="12.75" customHeight="1">
      <c r="A76" s="12">
        <v>23.0</v>
      </c>
      <c r="B76" s="36" t="s">
        <v>286</v>
      </c>
      <c r="C76" s="14"/>
      <c r="D76" s="36" t="s">
        <v>287</v>
      </c>
      <c r="E76" s="19" t="s">
        <v>288</v>
      </c>
      <c r="F76" s="33" t="s">
        <v>289</v>
      </c>
      <c r="G76" s="34"/>
      <c r="H76" s="34"/>
    </row>
    <row r="77" ht="12.75" customHeight="1">
      <c r="A77" s="12">
        <v>24.0</v>
      </c>
      <c r="B77" s="36" t="s">
        <v>290</v>
      </c>
      <c r="C77" s="14"/>
      <c r="D77" s="37" t="s">
        <v>291</v>
      </c>
      <c r="E77" s="38" t="s">
        <v>292</v>
      </c>
      <c r="F77" s="33" t="s">
        <v>153</v>
      </c>
      <c r="G77" s="34"/>
      <c r="H77" s="34"/>
    </row>
    <row r="78" ht="12.75" customHeight="1">
      <c r="A78" s="12">
        <v>25.0</v>
      </c>
      <c r="B78" s="36" t="s">
        <v>293</v>
      </c>
      <c r="C78" s="14"/>
      <c r="D78" s="37" t="s">
        <v>294</v>
      </c>
      <c r="E78" s="19" t="s">
        <v>295</v>
      </c>
      <c r="F78" s="33" t="s">
        <v>231</v>
      </c>
      <c r="G78" s="34"/>
      <c r="H78" s="34"/>
    </row>
    <row r="79" ht="12.75" customHeight="1">
      <c r="A79" s="12">
        <v>26.0</v>
      </c>
      <c r="B79" s="36" t="s">
        <v>296</v>
      </c>
      <c r="C79" s="14"/>
      <c r="D79" s="37" t="s">
        <v>297</v>
      </c>
      <c r="E79" s="19" t="s">
        <v>295</v>
      </c>
      <c r="F79" s="33" t="s">
        <v>231</v>
      </c>
      <c r="G79" s="34"/>
      <c r="H79" s="34"/>
    </row>
    <row r="80" ht="12.75" customHeight="1">
      <c r="A80" s="12">
        <v>27.0</v>
      </c>
      <c r="B80" s="36" t="s">
        <v>298</v>
      </c>
      <c r="C80" s="14"/>
      <c r="D80" s="37" t="s">
        <v>299</v>
      </c>
      <c r="E80" s="19" t="s">
        <v>300</v>
      </c>
      <c r="F80" s="33" t="s">
        <v>231</v>
      </c>
      <c r="G80" s="34"/>
      <c r="H80" s="34"/>
    </row>
    <row r="81" ht="12.75" customHeight="1">
      <c r="A81" s="12">
        <v>28.0</v>
      </c>
      <c r="B81" s="36" t="s">
        <v>301</v>
      </c>
      <c r="C81" s="14"/>
      <c r="D81" s="37" t="s">
        <v>302</v>
      </c>
      <c r="E81" s="19" t="s">
        <v>303</v>
      </c>
      <c r="F81" s="33" t="s">
        <v>304</v>
      </c>
      <c r="G81" s="34"/>
      <c r="H81" s="34"/>
    </row>
    <row r="82" ht="12.75" customHeight="1">
      <c r="A82" s="12">
        <v>29.0</v>
      </c>
      <c r="B82" s="36" t="s">
        <v>305</v>
      </c>
      <c r="C82" s="14"/>
      <c r="D82" s="37" t="s">
        <v>306</v>
      </c>
      <c r="E82" s="38" t="s">
        <v>307</v>
      </c>
      <c r="F82" s="33" t="s">
        <v>308</v>
      </c>
      <c r="G82" s="34"/>
      <c r="H82" s="34"/>
    </row>
    <row r="83" ht="12.75" customHeight="1">
      <c r="A83" s="12">
        <v>30.0</v>
      </c>
      <c r="B83" s="36" t="s">
        <v>309</v>
      </c>
      <c r="C83" s="14"/>
      <c r="D83" s="37" t="s">
        <v>310</v>
      </c>
      <c r="E83" s="38" t="s">
        <v>307</v>
      </c>
      <c r="F83" s="33" t="s">
        <v>308</v>
      </c>
      <c r="G83" s="34"/>
      <c r="H83" s="34"/>
    </row>
    <row r="84" ht="12.75" customHeight="1">
      <c r="A84" s="12">
        <v>31.0</v>
      </c>
      <c r="B84" s="36" t="s">
        <v>311</v>
      </c>
      <c r="C84" s="14"/>
      <c r="D84" s="37" t="s">
        <v>312</v>
      </c>
      <c r="E84" s="19" t="s">
        <v>313</v>
      </c>
      <c r="F84" s="39" t="s">
        <v>314</v>
      </c>
      <c r="G84" s="34"/>
      <c r="H84" s="34"/>
    </row>
    <row r="85" ht="12.75" customHeight="1">
      <c r="A85" s="12">
        <v>32.0</v>
      </c>
      <c r="B85" s="36" t="s">
        <v>315</v>
      </c>
      <c r="C85" s="14"/>
      <c r="D85" s="37" t="s">
        <v>316</v>
      </c>
      <c r="E85" s="19" t="s">
        <v>313</v>
      </c>
      <c r="F85" s="39" t="s">
        <v>314</v>
      </c>
      <c r="G85" s="34"/>
      <c r="H85" s="34"/>
    </row>
    <row r="86" ht="12.75" customHeight="1">
      <c r="A86" s="12">
        <v>33.0</v>
      </c>
      <c r="B86" s="36" t="s">
        <v>317</v>
      </c>
      <c r="C86" s="14"/>
      <c r="D86" s="37" t="s">
        <v>318</v>
      </c>
      <c r="E86" s="19" t="s">
        <v>313</v>
      </c>
      <c r="F86" s="39" t="s">
        <v>314</v>
      </c>
      <c r="G86" s="34"/>
      <c r="H86" s="34"/>
    </row>
    <row r="87" ht="12.75" customHeight="1">
      <c r="A87" s="12">
        <v>34.0</v>
      </c>
      <c r="B87" s="36" t="s">
        <v>319</v>
      </c>
      <c r="C87" s="14"/>
      <c r="D87" s="37" t="s">
        <v>320</v>
      </c>
      <c r="E87" s="19" t="s">
        <v>313</v>
      </c>
      <c r="F87" s="39" t="s">
        <v>314</v>
      </c>
      <c r="G87" s="34"/>
      <c r="H87" s="34"/>
    </row>
    <row r="88" ht="12.75" customHeight="1">
      <c r="A88" s="12">
        <v>35.0</v>
      </c>
      <c r="B88" s="36" t="s">
        <v>321</v>
      </c>
      <c r="C88" s="14"/>
      <c r="D88" s="37" t="s">
        <v>283</v>
      </c>
      <c r="E88" s="19" t="s">
        <v>313</v>
      </c>
      <c r="F88" s="39" t="s">
        <v>314</v>
      </c>
      <c r="G88" s="34"/>
      <c r="H88" s="34"/>
    </row>
    <row r="89" ht="12.75" customHeight="1">
      <c r="A89" s="12">
        <v>36.0</v>
      </c>
      <c r="B89" s="36" t="s">
        <v>322</v>
      </c>
      <c r="C89" s="14"/>
      <c r="D89" s="37" t="s">
        <v>323</v>
      </c>
      <c r="E89" s="19" t="s">
        <v>313</v>
      </c>
      <c r="F89" s="39" t="s">
        <v>314</v>
      </c>
      <c r="G89" s="34"/>
      <c r="H89" s="34"/>
    </row>
    <row r="90" ht="12.75" customHeight="1">
      <c r="A90" s="12">
        <v>37.0</v>
      </c>
      <c r="B90" s="36" t="s">
        <v>324</v>
      </c>
      <c r="C90" s="14"/>
      <c r="D90" s="37" t="s">
        <v>325</v>
      </c>
      <c r="E90" s="19" t="s">
        <v>326</v>
      </c>
      <c r="F90" s="33" t="s">
        <v>327</v>
      </c>
      <c r="G90" s="34"/>
      <c r="H90" s="34"/>
    </row>
    <row r="91" ht="12.75" customHeight="1">
      <c r="A91" s="12">
        <v>38.0</v>
      </c>
      <c r="B91" s="36" t="s">
        <v>328</v>
      </c>
      <c r="C91" s="14"/>
      <c r="D91" s="37" t="s">
        <v>329</v>
      </c>
      <c r="E91" s="19" t="s">
        <v>313</v>
      </c>
      <c r="F91" s="39" t="s">
        <v>314</v>
      </c>
      <c r="G91" s="34"/>
      <c r="H91" s="34"/>
    </row>
    <row r="92" ht="12.75" customHeight="1">
      <c r="A92" s="12">
        <v>39.0</v>
      </c>
      <c r="B92" s="36" t="s">
        <v>330</v>
      </c>
      <c r="C92" s="14"/>
      <c r="D92" s="37" t="s">
        <v>331</v>
      </c>
      <c r="E92" s="19" t="s">
        <v>332</v>
      </c>
      <c r="F92" s="33" t="s">
        <v>308</v>
      </c>
      <c r="G92" s="34"/>
      <c r="H92" s="34"/>
    </row>
    <row r="93" ht="12.75" customHeight="1">
      <c r="A93" s="12">
        <v>40.0</v>
      </c>
      <c r="B93" s="36" t="s">
        <v>333</v>
      </c>
      <c r="C93" s="14"/>
      <c r="D93" s="37" t="s">
        <v>334</v>
      </c>
      <c r="E93" s="19" t="s">
        <v>335</v>
      </c>
      <c r="F93" s="33" t="s">
        <v>231</v>
      </c>
      <c r="G93" s="34"/>
      <c r="H93" s="34"/>
    </row>
    <row r="94" ht="12.75" customHeight="1">
      <c r="A94" s="12">
        <v>41.0</v>
      </c>
      <c r="B94" s="36" t="s">
        <v>336</v>
      </c>
      <c r="C94" s="14"/>
      <c r="D94" s="37" t="s">
        <v>337</v>
      </c>
      <c r="E94" s="19" t="s">
        <v>335</v>
      </c>
      <c r="F94" s="33" t="s">
        <v>231</v>
      </c>
      <c r="G94" s="34"/>
      <c r="H94" s="34"/>
    </row>
    <row r="95" ht="12.75" customHeight="1">
      <c r="A95" s="12">
        <v>42.0</v>
      </c>
      <c r="B95" s="36" t="s">
        <v>338</v>
      </c>
      <c r="C95" s="14"/>
      <c r="D95" s="37" t="s">
        <v>339</v>
      </c>
      <c r="E95" s="19" t="s">
        <v>313</v>
      </c>
      <c r="F95" s="39" t="s">
        <v>314</v>
      </c>
      <c r="G95" s="34"/>
      <c r="H95" s="34"/>
    </row>
    <row r="96" ht="12.75" customHeight="1">
      <c r="A96" s="12">
        <v>43.0</v>
      </c>
      <c r="B96" s="36" t="s">
        <v>340</v>
      </c>
      <c r="C96" s="14"/>
      <c r="D96" s="37" t="s">
        <v>341</v>
      </c>
      <c r="E96" s="19" t="s">
        <v>313</v>
      </c>
      <c r="F96" s="39" t="s">
        <v>314</v>
      </c>
      <c r="G96" s="34"/>
      <c r="H96" s="34"/>
    </row>
    <row r="97" ht="12.75" customHeight="1">
      <c r="A97" s="12">
        <v>44.0</v>
      </c>
      <c r="B97" s="36" t="s">
        <v>342</v>
      </c>
      <c r="C97" s="14"/>
      <c r="D97" s="37" t="s">
        <v>343</v>
      </c>
      <c r="E97" s="19" t="s">
        <v>313</v>
      </c>
      <c r="F97" s="39" t="s">
        <v>314</v>
      </c>
      <c r="G97" s="34"/>
      <c r="H97" s="34"/>
    </row>
    <row r="98" ht="12.75" customHeight="1">
      <c r="A98" s="12">
        <v>45.0</v>
      </c>
      <c r="B98" s="36" t="s">
        <v>344</v>
      </c>
      <c r="C98" s="14"/>
      <c r="D98" s="37" t="s">
        <v>345</v>
      </c>
      <c r="E98" s="40" t="s">
        <v>346</v>
      </c>
      <c r="F98" s="33" t="s">
        <v>347</v>
      </c>
      <c r="G98" s="34"/>
      <c r="H98" s="34"/>
    </row>
    <row r="99" ht="12.75" customHeight="1">
      <c r="A99" s="12">
        <v>46.0</v>
      </c>
      <c r="B99" s="36" t="s">
        <v>348</v>
      </c>
      <c r="C99" s="14"/>
      <c r="D99" s="37" t="s">
        <v>349</v>
      </c>
      <c r="E99" s="19" t="s">
        <v>313</v>
      </c>
      <c r="F99" s="39" t="s">
        <v>314</v>
      </c>
      <c r="G99" s="34"/>
      <c r="H99" s="34"/>
    </row>
    <row r="100" ht="12.75" customHeight="1">
      <c r="A100" s="12">
        <v>47.0</v>
      </c>
      <c r="B100" s="36" t="s">
        <v>350</v>
      </c>
      <c r="C100" s="14"/>
      <c r="D100" s="37" t="s">
        <v>351</v>
      </c>
      <c r="E100" s="19" t="s">
        <v>313</v>
      </c>
      <c r="F100" s="39" t="s">
        <v>314</v>
      </c>
      <c r="G100" s="34"/>
      <c r="H100" s="34"/>
    </row>
    <row r="101" ht="12.75" customHeight="1">
      <c r="A101" s="12">
        <v>48.0</v>
      </c>
      <c r="B101" s="36" t="s">
        <v>352</v>
      </c>
      <c r="C101" s="14"/>
      <c r="D101" s="37" t="s">
        <v>353</v>
      </c>
      <c r="E101" s="19" t="s">
        <v>313</v>
      </c>
      <c r="F101" s="39" t="s">
        <v>314</v>
      </c>
      <c r="G101" s="34"/>
      <c r="H101" s="34"/>
    </row>
    <row r="102" ht="12.75" customHeight="1">
      <c r="A102" s="12">
        <v>49.0</v>
      </c>
      <c r="B102" s="36" t="s">
        <v>354</v>
      </c>
      <c r="C102" s="14"/>
      <c r="D102" s="37" t="s">
        <v>355</v>
      </c>
      <c r="E102" s="19" t="s">
        <v>313</v>
      </c>
      <c r="F102" s="39" t="s">
        <v>314</v>
      </c>
      <c r="G102" s="34"/>
      <c r="H102" s="34"/>
    </row>
    <row r="103" ht="12.75" customHeight="1">
      <c r="A103" s="12">
        <v>50.0</v>
      </c>
      <c r="B103" s="36" t="s">
        <v>356</v>
      </c>
      <c r="C103" s="14"/>
      <c r="D103" s="37" t="s">
        <v>329</v>
      </c>
      <c r="E103" s="19" t="s">
        <v>313</v>
      </c>
      <c r="F103" s="39" t="s">
        <v>314</v>
      </c>
      <c r="G103" s="34"/>
      <c r="H103" s="34"/>
    </row>
    <row r="104" ht="12.75" customHeight="1">
      <c r="A104" s="12">
        <v>51.0</v>
      </c>
      <c r="B104" s="36" t="s">
        <v>357</v>
      </c>
      <c r="C104" s="14"/>
      <c r="D104" s="37" t="s">
        <v>358</v>
      </c>
      <c r="E104" s="19" t="s">
        <v>313</v>
      </c>
      <c r="F104" s="39" t="s">
        <v>314</v>
      </c>
      <c r="G104" s="34"/>
      <c r="H104" s="34"/>
    </row>
    <row r="105" ht="12.75" customHeight="1">
      <c r="A105" s="12">
        <v>52.0</v>
      </c>
      <c r="B105" s="36" t="s">
        <v>359</v>
      </c>
      <c r="C105" s="14"/>
      <c r="D105" s="37" t="s">
        <v>360</v>
      </c>
      <c r="E105" s="40" t="s">
        <v>361</v>
      </c>
      <c r="F105" s="39" t="s">
        <v>362</v>
      </c>
      <c r="G105" s="34"/>
      <c r="H105" s="34"/>
    </row>
    <row r="106" ht="12.75" customHeight="1">
      <c r="A106" s="12">
        <v>53.0</v>
      </c>
      <c r="B106" s="36" t="s">
        <v>363</v>
      </c>
      <c r="C106" s="14"/>
      <c r="D106" s="37" t="s">
        <v>364</v>
      </c>
      <c r="E106" s="19" t="s">
        <v>313</v>
      </c>
      <c r="F106" s="39" t="s">
        <v>314</v>
      </c>
      <c r="G106" s="34"/>
      <c r="H106" s="34"/>
    </row>
    <row r="107" ht="12.75" customHeight="1">
      <c r="A107" s="12">
        <v>54.0</v>
      </c>
      <c r="B107" s="36" t="s">
        <v>365</v>
      </c>
      <c r="C107" s="14"/>
      <c r="D107" s="37" t="s">
        <v>366</v>
      </c>
      <c r="E107" s="19" t="s">
        <v>313</v>
      </c>
      <c r="F107" s="39" t="s">
        <v>314</v>
      </c>
      <c r="G107" s="34"/>
      <c r="H107" s="34"/>
    </row>
    <row r="108" ht="12.75" customHeight="1">
      <c r="A108" s="12">
        <v>55.0</v>
      </c>
      <c r="B108" s="36" t="s">
        <v>367</v>
      </c>
      <c r="C108" s="14"/>
      <c r="D108" s="37" t="s">
        <v>368</v>
      </c>
      <c r="E108" s="19" t="s">
        <v>369</v>
      </c>
      <c r="F108" s="33" t="s">
        <v>370</v>
      </c>
      <c r="G108" s="34"/>
      <c r="H108" s="34"/>
    </row>
    <row r="109" ht="12.75" customHeight="1">
      <c r="A109" s="12">
        <v>56.0</v>
      </c>
      <c r="B109" s="36" t="s">
        <v>371</v>
      </c>
      <c r="C109" s="14"/>
      <c r="D109" s="37" t="s">
        <v>372</v>
      </c>
      <c r="E109" s="19" t="s">
        <v>369</v>
      </c>
      <c r="F109" s="33" t="s">
        <v>370</v>
      </c>
      <c r="G109" s="34"/>
      <c r="H109" s="34"/>
    </row>
    <row r="110" ht="12.75" customHeight="1">
      <c r="A110" s="12">
        <v>57.0</v>
      </c>
      <c r="B110" s="36" t="s">
        <v>373</v>
      </c>
      <c r="C110" s="14"/>
      <c r="D110" s="37" t="s">
        <v>374</v>
      </c>
      <c r="E110" s="41" t="s">
        <v>375</v>
      </c>
      <c r="F110" s="33" t="s">
        <v>376</v>
      </c>
      <c r="G110" s="34"/>
      <c r="H110" s="34"/>
    </row>
    <row r="111" ht="12.75" customHeight="1">
      <c r="A111" s="12">
        <v>58.0</v>
      </c>
      <c r="B111" s="14" t="s">
        <v>377</v>
      </c>
      <c r="C111" s="17"/>
      <c r="D111" s="14" t="s">
        <v>378</v>
      </c>
      <c r="E111" s="41" t="s">
        <v>375</v>
      </c>
      <c r="F111" s="33" t="s">
        <v>376</v>
      </c>
    </row>
    <row r="112" ht="12.75" customHeight="1">
      <c r="A112" s="12">
        <v>59.0</v>
      </c>
      <c r="B112" s="14" t="s">
        <v>379</v>
      </c>
      <c r="C112" s="17"/>
      <c r="D112" s="14" t="s">
        <v>380</v>
      </c>
      <c r="E112" s="41" t="s">
        <v>375</v>
      </c>
      <c r="F112" s="33" t="s">
        <v>376</v>
      </c>
    </row>
    <row r="113" ht="12.75" customHeight="1">
      <c r="A113" s="12">
        <v>60.0</v>
      </c>
      <c r="B113" s="14" t="s">
        <v>381</v>
      </c>
      <c r="C113" s="17"/>
      <c r="D113" s="14" t="s">
        <v>382</v>
      </c>
      <c r="E113" s="41" t="s">
        <v>375</v>
      </c>
      <c r="F113" s="33" t="s">
        <v>376</v>
      </c>
    </row>
    <row r="114" ht="12.75" customHeight="1">
      <c r="A114" s="12">
        <v>61.0</v>
      </c>
      <c r="B114" s="14" t="s">
        <v>383</v>
      </c>
      <c r="C114" s="17"/>
      <c r="D114" s="14" t="s">
        <v>384</v>
      </c>
      <c r="E114" s="41" t="s">
        <v>375</v>
      </c>
      <c r="F114" s="33" t="s">
        <v>376</v>
      </c>
    </row>
    <row r="115" ht="12.75" customHeight="1">
      <c r="A115" s="12">
        <v>62.0</v>
      </c>
      <c r="B115" s="14" t="s">
        <v>385</v>
      </c>
      <c r="C115" s="17"/>
      <c r="D115" s="14" t="s">
        <v>386</v>
      </c>
      <c r="E115" s="41" t="s">
        <v>387</v>
      </c>
      <c r="F115" s="42" t="s">
        <v>388</v>
      </c>
    </row>
    <row r="116" ht="12.75" customHeight="1">
      <c r="A116" s="12">
        <v>63.0</v>
      </c>
      <c r="B116" s="14" t="s">
        <v>389</v>
      </c>
      <c r="C116" s="17"/>
      <c r="D116" s="14" t="s">
        <v>390</v>
      </c>
      <c r="E116" s="41" t="s">
        <v>375</v>
      </c>
      <c r="F116" s="33" t="s">
        <v>376</v>
      </c>
    </row>
    <row r="117" ht="12.75" customHeight="1">
      <c r="A117" s="12">
        <v>64.0</v>
      </c>
      <c r="B117" s="14" t="s">
        <v>391</v>
      </c>
      <c r="C117" s="17"/>
      <c r="D117" s="14" t="s">
        <v>392</v>
      </c>
      <c r="E117" s="41" t="s">
        <v>375</v>
      </c>
      <c r="F117" s="33" t="s">
        <v>376</v>
      </c>
    </row>
    <row r="118" ht="12.75" customHeight="1">
      <c r="A118" s="12">
        <v>65.0</v>
      </c>
      <c r="B118" s="14" t="s">
        <v>393</v>
      </c>
      <c r="C118" s="17"/>
      <c r="D118" s="14" t="s">
        <v>394</v>
      </c>
      <c r="E118" s="41" t="s">
        <v>375</v>
      </c>
      <c r="F118" s="33" t="s">
        <v>376</v>
      </c>
    </row>
    <row r="119" ht="12.75" customHeight="1">
      <c r="A119" s="12">
        <v>66.0</v>
      </c>
      <c r="B119" s="14" t="s">
        <v>395</v>
      </c>
      <c r="C119" s="17"/>
      <c r="D119" s="14" t="s">
        <v>396</v>
      </c>
      <c r="E119" s="41" t="s">
        <v>375</v>
      </c>
      <c r="F119" s="33" t="s">
        <v>376</v>
      </c>
    </row>
    <row r="120" ht="12.75" customHeight="1">
      <c r="A120" s="12">
        <v>67.0</v>
      </c>
      <c r="B120" s="14" t="s">
        <v>397</v>
      </c>
      <c r="C120" s="17"/>
      <c r="D120" s="14" t="s">
        <v>398</v>
      </c>
      <c r="E120" s="41" t="s">
        <v>375</v>
      </c>
      <c r="F120" s="33" t="s">
        <v>376</v>
      </c>
    </row>
    <row r="121" ht="12.75" customHeight="1">
      <c r="A121" s="12">
        <v>68.0</v>
      </c>
      <c r="B121" s="14" t="s">
        <v>399</v>
      </c>
      <c r="C121" s="17"/>
      <c r="D121" s="14" t="s">
        <v>400</v>
      </c>
      <c r="E121" s="41" t="s">
        <v>401</v>
      </c>
      <c r="F121" s="42" t="s">
        <v>402</v>
      </c>
    </row>
    <row r="122" ht="12.75" customHeight="1">
      <c r="A122" s="12">
        <v>69.0</v>
      </c>
      <c r="B122" s="14" t="s">
        <v>403</v>
      </c>
      <c r="C122" s="17"/>
      <c r="D122" s="14" t="s">
        <v>404</v>
      </c>
      <c r="E122" s="41" t="s">
        <v>405</v>
      </c>
      <c r="F122" s="42" t="s">
        <v>406</v>
      </c>
    </row>
    <row r="123" ht="12.75" customHeight="1">
      <c r="A123" s="12">
        <v>70.0</v>
      </c>
      <c r="B123" s="14" t="s">
        <v>407</v>
      </c>
      <c r="C123" s="17"/>
      <c r="D123" s="19" t="s">
        <v>408</v>
      </c>
      <c r="E123" s="41" t="s">
        <v>409</v>
      </c>
      <c r="F123" s="42" t="s">
        <v>203</v>
      </c>
    </row>
    <row r="124" ht="12.75" customHeight="1">
      <c r="A124" s="12">
        <v>71.0</v>
      </c>
      <c r="B124" s="13" t="s">
        <v>410</v>
      </c>
      <c r="C124" s="17"/>
      <c r="D124" s="13" t="s">
        <v>411</v>
      </c>
      <c r="E124" s="17"/>
      <c r="F124" s="17"/>
    </row>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83">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 ref="H96:I96"/>
    <mergeCell ref="H104:I104"/>
    <mergeCell ref="H105:I105"/>
    <mergeCell ref="H106:I106"/>
    <mergeCell ref="H107:I107"/>
    <mergeCell ref="H108:I108"/>
    <mergeCell ref="H109:I109"/>
    <mergeCell ref="H110:I110"/>
    <mergeCell ref="H97:I97"/>
    <mergeCell ref="H98:I98"/>
    <mergeCell ref="H99:I99"/>
    <mergeCell ref="H100:I100"/>
    <mergeCell ref="H101:I101"/>
    <mergeCell ref="H102:I102"/>
    <mergeCell ref="H103:I103"/>
    <mergeCell ref="A1:F1"/>
    <mergeCell ref="A2:F2"/>
    <mergeCell ref="A4:E4"/>
    <mergeCell ref="A7:F7"/>
    <mergeCell ref="D11:D17"/>
    <mergeCell ref="D18:D21"/>
    <mergeCell ref="A22:F22"/>
    <mergeCell ref="A29:E29"/>
    <mergeCell ref="A38:F38"/>
    <mergeCell ref="A53:F53"/>
    <mergeCell ref="H57:I57"/>
    <mergeCell ref="J57:K57"/>
    <mergeCell ref="H58:I58"/>
    <mergeCell ref="J58:K58"/>
    <mergeCell ref="H59:I59"/>
    <mergeCell ref="J59:K59"/>
    <mergeCell ref="H60:I60"/>
    <mergeCell ref="J60:K60"/>
    <mergeCell ref="H61:I61"/>
    <mergeCell ref="J61:K61"/>
    <mergeCell ref="J62:K62"/>
    <mergeCell ref="H62:I62"/>
    <mergeCell ref="H63:I63"/>
    <mergeCell ref="H64:I64"/>
    <mergeCell ref="H65:I65"/>
    <mergeCell ref="H66:I66"/>
    <mergeCell ref="H67:I67"/>
    <mergeCell ref="H68:I68"/>
    <mergeCell ref="J70:K70"/>
    <mergeCell ref="J71:K71"/>
    <mergeCell ref="J72:K72"/>
    <mergeCell ref="J73:K73"/>
    <mergeCell ref="J74:K74"/>
    <mergeCell ref="J75:K75"/>
    <mergeCell ref="J63:K63"/>
    <mergeCell ref="J64:K64"/>
    <mergeCell ref="J65:K65"/>
    <mergeCell ref="J66:K66"/>
    <mergeCell ref="J67:K67"/>
    <mergeCell ref="J68:K68"/>
    <mergeCell ref="J69:K69"/>
    <mergeCell ref="H69:I69"/>
    <mergeCell ref="H70:I70"/>
    <mergeCell ref="H71:I71"/>
    <mergeCell ref="H72:I72"/>
    <mergeCell ref="H73:I73"/>
    <mergeCell ref="H74:I74"/>
    <mergeCell ref="H75:I75"/>
  </mergeCells>
  <hyperlinks>
    <hyperlink r:id="rId1" ref="F5"/>
    <hyperlink r:id="rId2" ref="F10"/>
    <hyperlink r:id="rId3" ref="F11"/>
    <hyperlink r:id="rId4" ref="F12"/>
    <hyperlink r:id="rId5" ref="F13"/>
    <hyperlink r:id="rId6" ref="F14"/>
    <hyperlink r:id="rId7" ref="F15"/>
    <hyperlink r:id="rId8" ref="F16"/>
    <hyperlink r:id="rId9" ref="F17"/>
    <hyperlink r:id="rId10" ref="F18"/>
    <hyperlink r:id="rId11" ref="F19"/>
    <hyperlink r:id="rId12" ref="F20"/>
    <hyperlink r:id="rId13" ref="F21"/>
    <hyperlink r:id="rId14" ref="F23"/>
    <hyperlink r:id="rId15" ref="F24"/>
    <hyperlink r:id="rId16" ref="F25"/>
    <hyperlink r:id="rId17" ref="F26"/>
    <hyperlink r:id="rId18" ref="F28"/>
    <hyperlink r:id="rId19" ref="F30"/>
    <hyperlink r:id="rId20" ref="F31"/>
    <hyperlink r:id="rId21" ref="F32"/>
    <hyperlink r:id="rId22" ref="F33"/>
    <hyperlink r:id="rId23" ref="F34"/>
    <hyperlink r:id="rId24" ref="F35"/>
    <hyperlink r:id="rId25" ref="F36"/>
    <hyperlink r:id="rId26" ref="F37"/>
    <hyperlink r:id="rId27" ref="F39"/>
    <hyperlink r:id="rId28" ref="F40"/>
    <hyperlink r:id="rId29" ref="F41"/>
    <hyperlink r:id="rId30" ref="F42"/>
    <hyperlink r:id="rId31" ref="F43"/>
    <hyperlink r:id="rId32" ref="F44"/>
    <hyperlink r:id="rId33" ref="F45"/>
    <hyperlink r:id="rId34" ref="F46"/>
    <hyperlink r:id="rId35" ref="F47"/>
    <hyperlink r:id="rId36" ref="F48"/>
    <hyperlink r:id="rId37" ref="F49"/>
    <hyperlink r:id="rId38" ref="F50"/>
    <hyperlink r:id="rId39" ref="F51"/>
    <hyperlink r:id="rId40" ref="F52"/>
    <hyperlink r:id="rId41" ref="F55"/>
    <hyperlink r:id="rId42" ref="F56"/>
    <hyperlink r:id="rId43" ref="F57"/>
    <hyperlink r:id="rId44" ref="F58"/>
    <hyperlink r:id="rId45" ref="F59"/>
    <hyperlink r:id="rId46" ref="F60"/>
    <hyperlink r:id="rId47" ref="F62"/>
    <hyperlink r:id="rId48" ref="F63"/>
    <hyperlink r:id="rId49" ref="F64"/>
    <hyperlink r:id="rId50" ref="F65"/>
    <hyperlink r:id="rId51" ref="F66"/>
    <hyperlink r:id="rId52" ref="F67"/>
    <hyperlink r:id="rId53" ref="F68"/>
    <hyperlink r:id="rId54" ref="F69"/>
    <hyperlink r:id="rId55" ref="F70"/>
    <hyperlink r:id="rId56" ref="F71"/>
    <hyperlink r:id="rId57" ref="F72"/>
    <hyperlink r:id="rId58" ref="F73"/>
    <hyperlink r:id="rId59" ref="F74"/>
    <hyperlink r:id="rId60" ref="F75"/>
    <hyperlink r:id="rId61" ref="F76"/>
    <hyperlink r:id="rId62" ref="F77"/>
    <hyperlink r:id="rId63" ref="F78"/>
    <hyperlink r:id="rId64" ref="F79"/>
    <hyperlink r:id="rId65" ref="F80"/>
    <hyperlink r:id="rId66" ref="F81"/>
    <hyperlink r:id="rId67" ref="F82"/>
    <hyperlink r:id="rId68" ref="F83"/>
    <hyperlink r:id="rId69" ref="F84"/>
    <hyperlink r:id="rId70" ref="F85"/>
    <hyperlink r:id="rId71" ref="F86"/>
    <hyperlink r:id="rId72" ref="F87"/>
    <hyperlink r:id="rId73" ref="F88"/>
    <hyperlink r:id="rId74" ref="F89"/>
    <hyperlink r:id="rId75" ref="F90"/>
    <hyperlink r:id="rId76" ref="F91"/>
    <hyperlink r:id="rId77" ref="F92"/>
    <hyperlink r:id="rId78" ref="F93"/>
    <hyperlink r:id="rId79" ref="F94"/>
    <hyperlink r:id="rId80" ref="F95"/>
    <hyperlink r:id="rId81" ref="F96"/>
    <hyperlink r:id="rId82" ref="F97"/>
    <hyperlink r:id="rId83" ref="F98"/>
    <hyperlink r:id="rId84" ref="F99"/>
    <hyperlink r:id="rId85" ref="F100"/>
    <hyperlink r:id="rId86" ref="F101"/>
    <hyperlink r:id="rId87" ref="F102"/>
    <hyperlink r:id="rId88" ref="F103"/>
    <hyperlink r:id="rId89" ref="F104"/>
    <hyperlink r:id="rId90" ref="F105"/>
    <hyperlink r:id="rId91" ref="F106"/>
    <hyperlink r:id="rId92" ref="F107"/>
    <hyperlink r:id="rId93" ref="F108"/>
    <hyperlink r:id="rId94" ref="F109"/>
    <hyperlink r:id="rId95" ref="F110"/>
    <hyperlink r:id="rId96" ref="F111"/>
    <hyperlink r:id="rId97" ref="F112"/>
    <hyperlink r:id="rId98" ref="F113"/>
    <hyperlink r:id="rId99" ref="F114"/>
    <hyperlink r:id="rId100" ref="F115"/>
    <hyperlink r:id="rId101" ref="F116"/>
    <hyperlink r:id="rId102" ref="F117"/>
    <hyperlink r:id="rId103" ref="F118"/>
    <hyperlink r:id="rId104" ref="F119"/>
    <hyperlink r:id="rId105" ref="F120"/>
    <hyperlink r:id="rId106" ref="F121"/>
    <hyperlink r:id="rId107" ref="F122"/>
    <hyperlink r:id="rId108" ref="F123"/>
  </hyperlinks>
  <printOptions/>
  <pageMargins bottom="0.75" footer="0.0" header="0.0" left="0.7" right="0.7" top="0.75"/>
  <pageSetup orientation="landscape"/>
  <drawing r:id="rId10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71"/>
    <col customWidth="1" min="2" max="2" width="34.86"/>
    <col customWidth="1" min="3" max="3" width="25.71"/>
    <col customWidth="1" min="4" max="4" width="32.71"/>
    <col customWidth="1" min="5" max="5" width="45.29"/>
    <col customWidth="1" min="6" max="6" width="29.71"/>
    <col customWidth="1" min="7" max="26" width="8.71"/>
  </cols>
  <sheetData>
    <row r="1" ht="12.0" customHeight="1">
      <c r="A1" s="1" t="s">
        <v>412</v>
      </c>
    </row>
    <row r="2" ht="34.5" customHeight="1">
      <c r="A2" s="43" t="str">
        <f>IFERROR(__xludf.DUMMYFUNCTION("GOOGLETRANSLATE(Indonesia!A2,""IN"",""EN"")"),"REPORTS AND PAYMENT LIST")</f>
        <v>REPORTS AND PAYMENT LIST</v>
      </c>
    </row>
    <row r="3" ht="25.5" customHeight="1">
      <c r="A3" s="6" t="str">
        <f>IFERROR(__xludf.DUMMYFUNCTION("GOOGLETRANSLATE(Indonesia!A3,""IN"",""EN"")"),"NO")</f>
        <v>NO</v>
      </c>
      <c r="B3" s="6" t="str">
        <f>IFERROR(__xludf.DUMMYFUNCTION("GOOGLETRANSLATE(Indonesia!B3,""IN"",""EN"")"),"TYPES OF REPORTS &amp; PAYMENTS")</f>
        <v>TYPES OF REPORTS &amp; PAYMENTS</v>
      </c>
      <c r="C3" s="6" t="str">
        <f>IFERROR(__xludf.DUMMYFUNCTION("GOOGLETRANSLATE(Indonesia!C3,""IN"",""EN"")"),"ADDRESSED TO")</f>
        <v>ADDRESSED TO</v>
      </c>
      <c r="D3" s="6" t="str">
        <f>IFERROR(__xludf.DUMMYFUNCTION("GOOGLETRANSLATE(Indonesia!D3,""IN"",""EN"")"),"DEADLINE")</f>
        <v>DEADLINE</v>
      </c>
      <c r="E3" s="6" t="str">
        <f>IFERROR(__xludf.DUMMYFUNCTION("GOOGLETRANSLATE(Indonesia!E3,""IN"",""EN"")"),"INFORMATION")</f>
        <v>INFORMATION</v>
      </c>
      <c r="F3" s="6" t="str">
        <f>IFERROR(__xludf.DUMMYFUNCTION("GOOGLETRANSLATE(Indonesia!F3,""IN"",""EN"")"),"LINK Regulations")</f>
        <v>LINK Regulations</v>
      </c>
    </row>
    <row r="4" ht="17.25" customHeight="1">
      <c r="A4" s="8" t="str">
        <f>IFERROR(__xludf.DUMMYFUNCTION("GOOGLETRANSLATE(Indonesia!A4,""IN"",""EN"")"),"TWO WEEKS")</f>
        <v>TWO WEEKS</v>
      </c>
      <c r="B4" s="9"/>
      <c r="C4" s="9"/>
      <c r="D4" s="9"/>
      <c r="E4" s="10"/>
      <c r="F4" s="11"/>
    </row>
    <row r="5" ht="24.0" customHeight="1">
      <c r="A5" s="12">
        <v>1.0</v>
      </c>
      <c r="B5" s="13" t="str">
        <f>IFERROR(__xludf.DUMMYFUNCTION("GOOGLETRANSLATE(Indonesia!B5,""IN"",""EN"")"),"OBOX")</f>
        <v>OBOX</v>
      </c>
      <c r="C5" s="13" t="str">
        <f>IFERROR(__xludf.DUMMYFUNCTION("GOOGLETRANSLATE(Indonesia!C5,""IN"",""EN"")"),"OJK / ONLINE (OBOX
AGENT)")</f>
        <v>OJK / ONLINE (OBOX
AGENT)</v>
      </c>
      <c r="D5" s="13" t="str">
        <f>IFERROR(__xludf.DUMMYFUNCTION("GOOGLETRANSLATE(Indonesia!D5,""IN"",""EN"")"),"AS PER OBOX SCHEDULE
(2 WEEKS)")</f>
        <v>AS PER OBOX SCHEDULE
(2 WEEKS)</v>
      </c>
      <c r="E5" s="13" t="str">
        <f>IFERROR(__xludf.DUMMYFUNCTION("GOOGLETRANSLATE(Indonesia!E5,""IN"",""EN"")"),"POJK 62/POJK.03/2020 and POJK 13/POJK.02/2018")</f>
        <v>POJK 62/POJK.03/2020 and POJK 13/POJK.02/2018</v>
      </c>
      <c r="F5" s="16" t="s">
        <v>413</v>
      </c>
    </row>
    <row r="6" ht="24.0" customHeight="1">
      <c r="A6" s="12">
        <v>2.0</v>
      </c>
      <c r="B6" s="13" t="str">
        <f>IFERROR(__xludf.DUMMYFUNCTION("GOOGLETRANSLATE(Indonesia!B6,""IN"",""EN"")"),"PROBLEM CREDIT ACTION PLAN REPORT")</f>
        <v>PROBLEM CREDIT ACTION PLAN REPORT</v>
      </c>
      <c r="C6" s="13" t="str">
        <f>IFERROR(__xludf.DUMMYFUNCTION("GOOGLETRANSLATE(Indonesia!C6,""IN"",""EN"")"),"OJK / OFFLINE (HARDCOPY TO OJK)")</f>
        <v>OJK / OFFLINE (HARDCOPY TO OJK)</v>
      </c>
      <c r="D6" s="13" t="str">
        <f>IFERROR(__xludf.DUMMYFUNCTION("GOOGLETRANSLATE(Indonesia!D6,""IN"",""EN"")"),"2 WEEKS")</f>
        <v>2 WEEKS</v>
      </c>
      <c r="E6" s="13" t="str">
        <f>IFERROR(__xludf.DUMMYFUNCTION("GOOGLETRANSLATE(Indonesia!E6,""IN"",""EN"")"),"-")</f>
        <v>-</v>
      </c>
      <c r="F6" s="17"/>
    </row>
    <row r="7" ht="21.75" customHeight="1">
      <c r="A7" s="8" t="str">
        <f>IFERROR(__xludf.DUMMYFUNCTION("GOOGLETRANSLATE(Indonesia!A7,""IN"",""EN"")"),"MONTHLY")</f>
        <v>MONTHLY</v>
      </c>
      <c r="B7" s="9"/>
      <c r="C7" s="9"/>
      <c r="D7" s="9"/>
      <c r="E7" s="9"/>
      <c r="F7" s="10"/>
    </row>
    <row r="8" ht="24.0" customHeight="1">
      <c r="A8" s="12">
        <v>1.0</v>
      </c>
      <c r="B8" s="13" t="str">
        <f>IFERROR(__xludf.DUMMYFUNCTION("GOOGLETRANSLATE(Indonesia!B8,""IN"",""EN"")"),"LIST OF INSURANCE PARTICIPANTS")</f>
        <v>LIST OF INSURANCE PARTICIPANTS</v>
      </c>
      <c r="C8" s="13" t="str">
        <f>IFERROR(__xludf.DUMMYFUNCTION("GOOGLETRANSLATE(Indonesia!C8,""IN"",""EN"")"),"INSURANCE THAT COOPERATES WITH BPR / ONLINE")</f>
        <v>INSURANCE THAT COOPERATES WITH BPR / ONLINE</v>
      </c>
      <c r="D8" s="13" t="str">
        <f>IFERROR(__xludf.DUMMYFUNCTION("GOOGLETRANSLATE(Indonesia!D8,""IN"",""EN"")"),"BEGINNING OF THE MONTH")</f>
        <v>BEGINNING OF THE MONTH</v>
      </c>
      <c r="E8" s="13" t="str">
        <f>IFERROR(__xludf.DUMMYFUNCTION("GOOGLETRANSLATE(Indonesia!E8,""IN"",""EN"")"),"-")</f>
        <v>-</v>
      </c>
      <c r="F8" s="17"/>
    </row>
    <row r="9" ht="24.0" customHeight="1">
      <c r="A9" s="12">
        <v>2.0</v>
      </c>
      <c r="B9" s="13" t="str">
        <f>IFERROR(__xludf.DUMMYFUNCTION("GOOGLETRANSLATE(Indonesia!B9,""IN"",""EN"")"),"MANAGEMENT REPORT")</f>
        <v>MANAGEMENT REPORT</v>
      </c>
      <c r="C9" s="13" t="str">
        <f>IFERROR(__xludf.DUMMYFUNCTION("GOOGLETRANSLATE(Indonesia!C9,""IN"",""EN"")"),"PSP &amp; DEKOM / WHATSAPP
&amp; OFFLINE (EXPEDITION)")</f>
        <v>PSP &amp; DEKOM / WHATSAPP
&amp; OFFLINE (EXPEDITION)</v>
      </c>
      <c r="D9" s="13" t="str">
        <f>IFERROR(__xludf.DUMMYFUNCTION("GOOGLETRANSLATE(Indonesia!D9,""IN"",""EN"")"),"BEGINNING OF THE MONTH")</f>
        <v>BEGINNING OF THE MONTH</v>
      </c>
      <c r="E9" s="13" t="str">
        <f>IFERROR(__xludf.DUMMYFUNCTION("GOOGLETRANSLATE(Indonesia!E9,""IN"",""EN"")"),"-")</f>
        <v>-</v>
      </c>
      <c r="F9" s="17"/>
    </row>
    <row r="10" ht="25.5" customHeight="1">
      <c r="A10" s="12">
        <v>3.0</v>
      </c>
      <c r="B10" s="13" t="str">
        <f>IFERROR(__xludf.DUMMYFUNCTION("GOOGLETRANSLATE(Indonesia!B10,""IN"",""EN"")"),"SLIK REPORT")</f>
        <v>SLIK REPORT</v>
      </c>
      <c r="C10" s="13" t="str">
        <f>IFERROR(__xludf.DUMMYFUNCTION("GOOGLETRANSLATE(Indonesia!C10,""IN"",""EN"")"),"OJK / ONLINE (SLIK CLIENT)")</f>
        <v>OJK / ONLINE (SLIK CLIENT)</v>
      </c>
      <c r="D10" s="13" t="str">
        <f>IFERROR(__xludf.DUMMYFUNCTION("GOOGLETRANSLATE(Indonesia!D10,""IN"",""EN"")"),"12TH OF THE NEXT MONTH")</f>
        <v>12TH OF THE NEXT MONTH</v>
      </c>
      <c r="E10" s="13" t="str">
        <f>IFERROR(__xludf.DUMMYFUNCTION("GOOGLETRANSLATE(Indonesia!E10,""IN"",""EN"")"),"POJK Regulation No. 18/POJK.03/2017 &amp; SEOJK No.50/SEOJK.03/2017")</f>
        <v>POJK Regulation No. 18/POJK.03/2017 &amp; SEOJK No.50/SEOJK.03/2017</v>
      </c>
      <c r="F10" s="20" t="s">
        <v>31</v>
      </c>
    </row>
    <row r="11" ht="48.0" customHeight="1">
      <c r="A11" s="12">
        <v>4.0</v>
      </c>
      <c r="B11" s="13" t="str">
        <f>IFERROR(__xludf.DUMMYFUNCTION("GOOGLETRANSLATE(Indonesia!B11,""IN"",""EN"")"),"MONTHLY REPORTS INCLUDING RELATED TO
- BMPK/BMPD,
- TPPU, TPPT, AND PPSPM,
- INSTITUTIONAL DATA")</f>
        <v>MONTHLY REPORTS INCLUDING RELATED TO
- BMPK/BMPD,
- TPPU, TPPT, AND PPSPM,
- INSTITUTIONAL DATA</v>
      </c>
      <c r="C11" s="13" t="str">
        <f>IFERROR(__xludf.DUMMYFUNCTION("GOOGLETRANSLATE(Indonesia!C11,""IN"",""EN"")"),"OJK / ONLINE (APOLO)")</f>
        <v>OJK / ONLINE (APOLO)</v>
      </c>
      <c r="D11" s="44" t="str">
        <f>IFERROR(__xludf.DUMMYFUNCTION("GOOGLETRANSLATE(Indonesia!D11,""IN"",""EN"")"),"10TH OF THE NEXT MONTH")</f>
        <v>10TH OF THE NEXT MONTH</v>
      </c>
      <c r="E11" s="13" t="str">
        <f>IFERROR(__xludf.DUMMYFUNCTION("GOOGLETRANSLATE(Indonesia!E11,""IN"",""EN"")"),"POJK No. 13/POJK.03/2019 and SEOJK No. 12/SEOJK.03/2022, POJK 23 YEAR 2024")</f>
        <v>POJK No. 13/POJK.03/2019 and SEOJK No. 12/SEOJK.03/2022, POJK 23 YEAR 2024</v>
      </c>
      <c r="F11" s="22" t="s">
        <v>414</v>
      </c>
    </row>
    <row r="12" ht="45.0" customHeight="1">
      <c r="A12" s="12">
        <v>5.0</v>
      </c>
      <c r="B12" s="13" t="str">
        <f>IFERROR(__xludf.DUMMYFUNCTION("GOOGLETRANSLATE(Indonesia!B12,""IN"",""EN"")"),"PAYMENT OF TAX PPH ARTICLE 21")</f>
        <v>PAYMENT OF TAX PPH ARTICLE 21</v>
      </c>
      <c r="C12" s="13" t="str">
        <f>IFERROR(__xludf.DUMMYFUNCTION("GOOGLETRANSLATE(Indonesia!C12,""IN"",""EN"")"),"DIRECTORATE GENERAL OF TAXES / OFFLINE (POST OFFICE)")</f>
        <v>DIRECTORATE GENERAL OF TAXES / OFFLINE (POST OFFICE)</v>
      </c>
      <c r="D12" s="23"/>
      <c r="E12" s="13" t="str">
        <f>IFERROR(__xludf.DUMMYFUNCTION("GOOGLETRANSLATE(Indonesia!E12,""IN"",""EN"")"),"Law No. 36 of 2008 Income Tax Article 21 and the latest Regulation of the Director General of Taxes No. PER16/PJ/2017")</f>
        <v>Law No. 36 of 2008 Income Tax Article 21 and the latest Regulation of the Director General of Taxes No. PER16/PJ/2017</v>
      </c>
      <c r="F12" s="24" t="s">
        <v>40</v>
      </c>
    </row>
    <row r="13" ht="24.0" customHeight="1">
      <c r="A13" s="12">
        <v>6.0</v>
      </c>
      <c r="B13" s="13" t="str">
        <f>IFERROR(__xludf.DUMMYFUNCTION("GOOGLETRANSLATE(Indonesia!B13,""IN"",""EN"")"),"PAYMENT OF TAXES ARTICLE 25")</f>
        <v>PAYMENT OF TAXES ARTICLE 25</v>
      </c>
      <c r="C13" s="13" t="str">
        <f>IFERROR(__xludf.DUMMYFUNCTION("GOOGLETRANSLATE(Indonesia!C13,""IN"",""EN"")"),"DIRECTORATE GENERAL OF TAXES / OFFLINE (OFFICE")</f>
        <v>DIRECTORATE GENERAL OF TAXES / OFFLINE (OFFICE</v>
      </c>
      <c r="D13" s="23"/>
      <c r="E13" s="13" t="str">
        <f>IFERROR(__xludf.DUMMYFUNCTION("GOOGLETRANSLATE(Indonesia!E13,""IN"",""EN"")"),"Law No. 36 of 2008 Income Tax Article 25")</f>
        <v>Law No. 36 of 2008 Income Tax Article 25</v>
      </c>
      <c r="F13" s="25" t="s">
        <v>44</v>
      </c>
    </row>
    <row r="14" ht="24.0" customHeight="1">
      <c r="A14" s="12">
        <v>7.0</v>
      </c>
      <c r="B14" s="13" t="str">
        <f>IFERROR(__xludf.DUMMYFUNCTION("GOOGLETRANSLATE(Indonesia!B14,""IN"",""EN"")"),"PAYMENT OF TAXES ARTICLE 23/26")</f>
        <v>PAYMENT OF TAXES ARTICLE 23/26</v>
      </c>
      <c r="C14" s="13" t="str">
        <f>IFERROR(__xludf.DUMMYFUNCTION("GOOGLETRANSLATE(Indonesia!C14,""IN"",""EN"")"),"DIRECTORATE GENERAL OF TAXES / OFFLINE (OFFICE")</f>
        <v>DIRECTORATE GENERAL OF TAXES / OFFLINE (OFFICE</v>
      </c>
      <c r="D14" s="23"/>
      <c r="E14" s="13" t="str">
        <f>IFERROR(__xludf.DUMMYFUNCTION("GOOGLETRANSLATE(Indonesia!E14,""IN"",""EN"")"),"Law No. 36 of 2008 Income Tax Article
24")</f>
        <v>Law No. 36 of 2008 Income Tax Article
24</v>
      </c>
      <c r="F14" s="25" t="s">
        <v>44</v>
      </c>
    </row>
    <row r="15" ht="23.25" customHeight="1">
      <c r="A15" s="12">
        <v>8.0</v>
      </c>
      <c r="B15" s="13" t="str">
        <f>IFERROR(__xludf.DUMMYFUNCTION("GOOGLETRANSLATE(Indonesia!B15,""IN"",""EN"")"),"PAYMENT OF TAXES ARTICLE 4 PARAGRAPH 2")</f>
        <v>PAYMENT OF TAXES ARTICLE 4 PARAGRAPH 2</v>
      </c>
      <c r="C15" s="13" t="str">
        <f>IFERROR(__xludf.DUMMYFUNCTION("GOOGLETRANSLATE(Indonesia!C15,""IN"",""EN"")"),"DIRECTORATE GENERAL OF TAXES / OFFLINE (OFFICE)")</f>
        <v>DIRECTORATE GENERAL OF TAXES / OFFLINE (OFFICE)</v>
      </c>
      <c r="D15" s="23"/>
      <c r="E15" s="13" t="str">
        <f>IFERROR(__xludf.DUMMYFUNCTION("GOOGLETRANSLATE(Indonesia!E15,""IN"",""EN"")"),"Law No. 36 of 2008 Income Tax Article 4 paragraph 3")</f>
        <v>Law No. 36 of 2008 Income Tax Article 4 paragraph 3</v>
      </c>
      <c r="F15" s="25" t="s">
        <v>44</v>
      </c>
    </row>
    <row r="16" ht="24.0" customHeight="1">
      <c r="A16" s="12">
        <v>9.0</v>
      </c>
      <c r="B16" s="13" t="str">
        <f>IFERROR(__xludf.DUMMYFUNCTION("GOOGLETRANSLATE(Indonesia!B16,""IN"",""EN"")"),"BPJS EMPLOYMENT PAYMENT")</f>
        <v>BPJS EMPLOYMENT PAYMENT</v>
      </c>
      <c r="C16" s="13" t="str">
        <f>IFERROR(__xludf.DUMMYFUNCTION("GOOGLETRANSLATE(Indonesia!C16,""IN"",""EN"")"),"BPJS EMPLOYMENT /
HIMBARA BANK")</f>
        <v>BPJS EMPLOYMENT /
HIMBARA BANK</v>
      </c>
      <c r="D16" s="23"/>
      <c r="E16" s="13" t="str">
        <f>IFERROR(__xludf.DUMMYFUNCTION("GOOGLETRANSLATE(Indonesia!E16,""IN"",""EN"")"),"PMK No.1 of 2016 and PBPJSK No.5 of 2018")</f>
        <v>PMK No.1 of 2016 and PBPJSK No.5 of 2018</v>
      </c>
      <c r="F16" s="22" t="s">
        <v>54</v>
      </c>
    </row>
    <row r="17" ht="24.0" customHeight="1">
      <c r="A17" s="12">
        <v>10.0</v>
      </c>
      <c r="B17" s="13" t="str">
        <f>IFERROR(__xludf.DUMMYFUNCTION("GOOGLETRANSLATE(Indonesia!B17,""IN"",""EN"")"),"BPJS HEALTH PAYMENT")</f>
        <v>BPJS HEALTH PAYMENT</v>
      </c>
      <c r="C17" s="13" t="str">
        <f>IFERROR(__xludf.DUMMYFUNCTION("GOOGLETRANSLATE(Indonesia!C17,""IN"",""EN"")"),"BPJS EMPLOYMENT /
HIMBARA BANK")</f>
        <v>BPJS EMPLOYMENT /
HIMBARA BANK</v>
      </c>
      <c r="D17" s="26"/>
      <c r="E17" s="13" t="str">
        <f>IFERROR(__xludf.DUMMYFUNCTION("GOOGLETRANSLATE(Indonesia!E17,""IN"",""EN"")"),"PMK No.1 of 2016 and PBPJSK No.5 of 2019")</f>
        <v>PMK No.1 of 2016 and PBPJSK No.5 of 2019</v>
      </c>
      <c r="F17" s="22" t="s">
        <v>58</v>
      </c>
    </row>
    <row r="18" ht="44.25" customHeight="1">
      <c r="A18" s="12">
        <v>11.0</v>
      </c>
      <c r="B18" s="13" t="str">
        <f>IFERROR(__xludf.DUMMYFUNCTION("GOOGLETRANSLATE(Indonesia!B18,""IN"",""EN"")"),"TAX REPORT PPH ARTICLE 21")</f>
        <v>TAX REPORT PPH ARTICLE 21</v>
      </c>
      <c r="C18" s="13" t="str">
        <f>IFERROR(__xludf.DUMMYFUNCTION("GOOGLETRANSLATE(Indonesia!C18,""IN"",""EN"")"),"DIRECTORATE GENERAL OF TAXES / ONLINE (DJP ONLINE)")</f>
        <v>DIRECTORATE GENERAL OF TAXES / ONLINE (DJP ONLINE)</v>
      </c>
      <c r="D18" s="45" t="str">
        <f>IFERROR(__xludf.DUMMYFUNCTION("GOOGLETRANSLATE(Indonesia!D18,""IN"",""EN"")"),"20TH OF THE NEXT MONTH")</f>
        <v>20TH OF THE NEXT MONTH</v>
      </c>
      <c r="E18" s="13" t="str">
        <f>IFERROR(__xludf.DUMMYFUNCTION("GOOGLETRANSLATE(Indonesia!E18,""IN"",""EN"")"),"Law No. 36 of 2008 Income Tax Article 21 and the latest Regulation of the Director General of Taxes No. PER16/PJ/2016")</f>
        <v>Law No. 36 of 2008 Income Tax Article 21 and the latest Regulation of the Director General of Taxes No. PER16/PJ/2016</v>
      </c>
      <c r="F18" s="22" t="s">
        <v>63</v>
      </c>
    </row>
    <row r="19" ht="24.0" customHeight="1">
      <c r="A19" s="12">
        <v>12.0</v>
      </c>
      <c r="B19" s="13" t="str">
        <f>IFERROR(__xludf.DUMMYFUNCTION("GOOGLETRANSLATE(Indonesia!B19,""IN"",""EN"")"),"TAX REPORT ARTICLE 25")</f>
        <v>TAX REPORT ARTICLE 25</v>
      </c>
      <c r="C19" s="13" t="str">
        <f>IFERROR(__xludf.DUMMYFUNCTION("GOOGLETRANSLATE(Indonesia!C19,""IN"",""EN"")"),"DIRECTORATE GENERAL OF TAXES / ONLINE (DJP")</f>
        <v>DIRECTORATE GENERAL OF TAXES / ONLINE (DJP</v>
      </c>
      <c r="D19" s="23"/>
      <c r="E19" s="13" t="str">
        <f>IFERROR(__xludf.DUMMYFUNCTION("GOOGLETRANSLATE(Indonesia!E19,""IN"",""EN"")"),"Law No. 36 of 2008 Income Tax Article 25")</f>
        <v>Law No. 36 of 2008 Income Tax Article 25</v>
      </c>
      <c r="F19" s="25" t="s">
        <v>44</v>
      </c>
    </row>
    <row r="20" ht="24.0" customHeight="1">
      <c r="A20" s="12">
        <v>13.0</v>
      </c>
      <c r="B20" s="13" t="str">
        <f>IFERROR(__xludf.DUMMYFUNCTION("GOOGLETRANSLATE(Indonesia!B20,""IN"",""EN"")"),"TAX REPORT ARTICLE 23/26")</f>
        <v>TAX REPORT ARTICLE 23/26</v>
      </c>
      <c r="C20" s="13" t="str">
        <f>IFERROR(__xludf.DUMMYFUNCTION("GOOGLETRANSLATE(Indonesia!C20,""IN"",""EN"")"),"DIRECTORATE GENERAL OF TAXES / ONLINE (DJP")</f>
        <v>DIRECTORATE GENERAL OF TAXES / ONLINE (DJP</v>
      </c>
      <c r="D20" s="23"/>
      <c r="E20" s="13" t="str">
        <f>IFERROR(__xludf.DUMMYFUNCTION("GOOGLETRANSLATE(Indonesia!E20,""IN"",""EN"")"),"Law No. 36 of 2008 Income Tax Article 23")</f>
        <v>Law No. 36 of 2008 Income Tax Article 23</v>
      </c>
      <c r="F20" s="25" t="s">
        <v>44</v>
      </c>
    </row>
    <row r="21" ht="24.0" customHeight="1">
      <c r="A21" s="12">
        <v>14.0</v>
      </c>
      <c r="B21" s="13" t="str">
        <f>IFERROR(__xludf.DUMMYFUNCTION("GOOGLETRANSLATE(Indonesia!B21,""IN"",""EN"")"),"TAX REPORT ARTICLE 4 PARAGRAPH 2")</f>
        <v>TAX REPORT ARTICLE 4 PARAGRAPH 2</v>
      </c>
      <c r="C21" s="13" t="str">
        <f>IFERROR(__xludf.DUMMYFUNCTION("GOOGLETRANSLATE(Indonesia!C21,""IN"",""EN"")"),"DIRECTORATE GENERAL OF TAXES / ONLINE (DJP")</f>
        <v>DIRECTORATE GENERAL OF TAXES / ONLINE (DJP</v>
      </c>
      <c r="D21" s="26"/>
      <c r="E21" s="13" t="str">
        <f>IFERROR(__xludf.DUMMYFUNCTION("GOOGLETRANSLATE(Indonesia!E21,""IN"",""EN"")"),"Law No. 36 of 2008 Income Tax Article 4
paragraph 2")</f>
        <v>Law No. 36 of 2008 Income Tax Article 4
paragraph 2</v>
      </c>
      <c r="F21" s="25" t="s">
        <v>44</v>
      </c>
    </row>
    <row r="22" ht="17.25" customHeight="1">
      <c r="A22" s="8" t="str">
        <f>IFERROR(__xludf.DUMMYFUNCTION("GOOGLETRANSLATE(Indonesia!A22,""IN"",""EN"")"),"QUARTERLY")</f>
        <v>QUARTERLY</v>
      </c>
      <c r="B22" s="9"/>
      <c r="C22" s="9"/>
      <c r="D22" s="9"/>
      <c r="E22" s="9"/>
      <c r="F22" s="10"/>
    </row>
    <row r="23" ht="24.0" customHeight="1">
      <c r="A23" s="12">
        <v>1.0</v>
      </c>
      <c r="B23" s="13" t="str">
        <f>IFERROR(__xludf.DUMMYFUNCTION("GOOGLETRANSLATE(Indonesia!B23,""IN"",""EN"")"),"SAVINGS AND DEPOSITS REPORT")</f>
        <v>SAVINGS AND DEPOSITS REPORT</v>
      </c>
      <c r="C23" s="13" t="str">
        <f>IFERROR(__xludf.DUMMYFUNCTION("GOOGLETRANSLATE(Indonesia!C23,""IN"",""EN"")"),"OJK / ONLINE (SIPESAT WEB)")</f>
        <v>OJK / ONLINE (SIPESAT WEB)</v>
      </c>
      <c r="D23" s="13" t="str">
        <f>IFERROR(__xludf.DUMMYFUNCTION("GOOGLETRANSLATE(Indonesia!D23,""IN"",""EN"")"),"APR 15, JULY 15,
OCT 15, JAN 15")</f>
        <v>APR 15, JULY 15,
OCT 15, JAN 15</v>
      </c>
      <c r="E23" s="13" t="str">
        <f>IFERROR(__xludf.DUMMYFUNCTION("GOOGLETRANSLATE(Indonesia!E23,""IN"",""EN"")"),"SEOJK No. 30/SEOJK.07/2017")</f>
        <v>SEOJK No. 30/SEOJK.07/2017</v>
      </c>
      <c r="F23" s="25" t="s">
        <v>78</v>
      </c>
    </row>
    <row r="24" ht="33.0" customHeight="1">
      <c r="A24" s="12">
        <v>2.0</v>
      </c>
      <c r="B24" s="13" t="str">
        <f>IFERROR(__xludf.DUMMYFUNCTION("GOOGLETRANSLATE(Indonesia!B24,""IN"",""EN"")"),"PUBLICATION PASTE EVIDENCE REPORT")</f>
        <v>PUBLICATION PASTE EVIDENCE REPORT</v>
      </c>
      <c r="C24" s="13" t="str">
        <f>IFERROR(__xludf.DUMMYFUNCTION("GOOGLETRANSLATE(Indonesia!C24,""IN"",""EN"")"),"OJK / ONLINE (APOLO)")</f>
        <v>OJK / ONLINE (APOLO)</v>
      </c>
      <c r="D24" s="13" t="str">
        <f>IFERROR(__xludf.DUMMYFUNCTION("GOOGLETRANSLATE(Indonesia!D24,""IN"",""EN"")"),"APR 30, JULY 31,
OCT 31, JAN 31")</f>
        <v>APR 30, JULY 31,
OCT 31, JAN 31</v>
      </c>
      <c r="E24" s="13" t="str">
        <f>IFERROR(__xludf.DUMMYFUNCTION("GOOGLETRANSLATE(Indonesia!E24,""IN"",""EN"")"),"POJK No. 48/POJK.03/2017 and SEOJK No.16/SEOJK.03/2019 concerning amendments to SEOJK No.39/SEOJK.03/2017")</f>
        <v>POJK No. 48/POJK.03/2017 and SEOJK No.16/SEOJK.03/2019 concerning amendments to SEOJK No.39/SEOJK.03/2017</v>
      </c>
      <c r="F24" s="22" t="s">
        <v>83</v>
      </c>
    </row>
    <row r="25" ht="33.0" customHeight="1">
      <c r="A25" s="12">
        <v>3.0</v>
      </c>
      <c r="B25" s="13" t="str">
        <f>IFERROR(__xludf.DUMMYFUNCTION("GOOGLETRANSLATE(Indonesia!B25,""IN"",""EN"")"),"PUBLICATION REPORT (INCLUDE LABUL)")</f>
        <v>PUBLICATION REPORT (INCLUDE LABUL)</v>
      </c>
      <c r="C25" s="13" t="str">
        <f>IFERROR(__xludf.DUMMYFUNCTION("GOOGLETRANSLATE(Indonesia!C25,""IN"",""EN"")"),"OJK / ONLINE (APOLO)")</f>
        <v>OJK / ONLINE (APOLO)</v>
      </c>
      <c r="D25" s="13" t="str">
        <f>IFERROR(__xludf.DUMMYFUNCTION("GOOGLETRANSLATE(Indonesia!D25,""IN"",""EN"")"),"APR 10, JULY 10,
OCT 10, JAN 10")</f>
        <v>APR 10, JULY 10,
OCT 10, JAN 10</v>
      </c>
      <c r="E25" s="13" t="str">
        <f>IFERROR(__xludf.DUMMYFUNCTION("GOOGLETRANSLATE(Indonesia!E25,""IN"",""EN"")"),"POJK No. 48/POJK.03/2017 and SEOJK No.16/SEOJK.03/2019
regarding changes to SEOJK No.39/SEOJK.03/2017")</f>
        <v>POJK No. 48/POJK.03/2017 and SEOJK No.16/SEOJK.03/2019
regarding changes to SEOJK No.39/SEOJK.03/2017</v>
      </c>
      <c r="F25" s="22" t="s">
        <v>83</v>
      </c>
    </row>
    <row r="26" ht="24.0" customHeight="1">
      <c r="A26" s="12">
        <v>4.0</v>
      </c>
      <c r="B26" s="13" t="str">
        <f>IFERROR(__xludf.DUMMYFUNCTION("GOOGLETRANSLATE(Indonesia!B26,""IN"",""EN"")"),"PAYMENT OF OJK CONTRIBUTIONS")</f>
        <v>PAYMENT OF OJK CONTRIBUTIONS</v>
      </c>
      <c r="C26" s="13" t="str">
        <f>IFERROR(__xludf.DUMMYFUNCTION("GOOGLETRANSLATE(Indonesia!C26,""IN"",""EN"")"),"OJK / ONLINE (SIPO WEB)")</f>
        <v>OJK / ONLINE (SIPO WEB)</v>
      </c>
      <c r="D26" s="13" t="str">
        <f>IFERROR(__xludf.DUMMYFUNCTION("GOOGLETRANSLATE(Indonesia!D26,""IN"",""EN"")"),"APR 15, JULY 15,
OCT 15, JAN 15")</f>
        <v>APR 15, JULY 15,
OCT 15, JAN 15</v>
      </c>
      <c r="E26" s="13" t="str">
        <f>IFERROR(__xludf.DUMMYFUNCTION("GOOGLETRANSLATE(Indonesia!E26,""IN"",""EN"")"),"POJK No. 3/POJK.02/2014 and SEOJK No. 04/SEOJK.02/2014")</f>
        <v>POJK No. 3/POJK.02/2014 and SEOJK No. 04/SEOJK.02/2014</v>
      </c>
      <c r="F26" s="22" t="s">
        <v>92</v>
      </c>
    </row>
    <row r="27" ht="24.0" customHeight="1">
      <c r="A27" s="12">
        <v>5.0</v>
      </c>
      <c r="B27" s="13" t="str">
        <f>IFERROR(__xludf.DUMMYFUNCTION("GOOGLETRANSLATE(Indonesia!B27,""IN"",""EN"")"),"HR BLUEPRINT")</f>
        <v>HR BLUEPRINT</v>
      </c>
      <c r="C27" s="13" t="str">
        <f>IFERROR(__xludf.DUMMYFUNCTION("GOOGLETRANSLATE(Indonesia!C27,""IN"",""EN"")"),"OJK / ONLINE (LINK)")</f>
        <v>OJK / ONLINE (LINK)</v>
      </c>
      <c r="D27" s="13" t="str">
        <f>IFERROR(__xludf.DUMMYFUNCTION("GOOGLETRANSLATE(Indonesia!D27,""IN"",""EN"")"),"APR 10, JULY 10,
OCT 10, JAN 10")</f>
        <v>APR 10, JULY 10,
OCT 10, JAN 10</v>
      </c>
      <c r="E27" s="13" t="str">
        <f>IFERROR(__xludf.DUMMYFUNCTION("GOOGLETRANSLATE(Indonesia!E27,""IN"",""EN"")"),"-")</f>
        <v>-</v>
      </c>
      <c r="F27" s="17"/>
    </row>
    <row r="28" ht="36.0" customHeight="1">
      <c r="A28" s="12">
        <v>6.0</v>
      </c>
      <c r="B28" s="13" t="str">
        <f>IFERROR(__xludf.DUMMYFUNCTION("GOOGLETRANSLATE(Indonesia!B28,""IN"",""EN"")"),"ANNOUNCEMENT OF PUBLICATION OF FINANCIAL REPORTS")</f>
        <v>ANNOUNCEMENT OF PUBLICATION OF FINANCIAL REPORTS</v>
      </c>
      <c r="C28" s="13" t="str">
        <f>IFERROR(__xludf.DUMMYFUNCTION("GOOGLETRANSLATE(Indonesia!C28,""IN"",""EN"")"),"OJK / OFFLINE (HARDCOP) &amp; OFFICE ANNOUNCEMENT MEDIA")</f>
        <v>OJK / OFFLINE (HARDCOP) &amp; OFFICE ANNOUNCEMENT MEDIA</v>
      </c>
      <c r="D28" s="13" t="str">
        <f>IFERROR(__xludf.DUMMYFUNCTION("GOOGLETRANSLATE(Indonesia!D28,""IN"",""EN"")"),"APR 30, JULY 31,
OCT 31, JAN 31")</f>
        <v>APR 30, JULY 31,
OCT 31, JAN 31</v>
      </c>
      <c r="E28" s="13" t="str">
        <f>IFERROR(__xludf.DUMMYFUNCTION("GOOGLETRANSLATE(Indonesia!E28,""IN"",""EN"")"),"POJK No.48/2017 and SEOJK No.39/2017")</f>
        <v>POJK No.48/2017 and SEOJK No.39/2017</v>
      </c>
      <c r="F28" s="22" t="s">
        <v>101</v>
      </c>
    </row>
    <row r="29" ht="20.25" customHeight="1">
      <c r="A29" s="8" t="str">
        <f>IFERROR(__xludf.DUMMYFUNCTION("GOOGLETRANSLATE(Indonesia!A29,""IN"",""EN"")"),"SEMESTERIAL")</f>
        <v>SEMESTERIAL</v>
      </c>
      <c r="B29" s="9"/>
      <c r="C29" s="9"/>
      <c r="D29" s="9"/>
      <c r="E29" s="10"/>
      <c r="F29" s="11"/>
    </row>
    <row r="30" ht="109.5" customHeight="1">
      <c r="A30" s="12">
        <v>1.0</v>
      </c>
      <c r="B30" s="13" t="str">
        <f>IFERROR(__xludf.DUMMYFUNCTION("GOOGLETRANSLATE(Indonesia!B30,""IN"",""EN"")"),"TKS REPORT INCLUDES:
- RESULT OF RISK PROFILE SELF-ASSESSMENT
- REPORT ON GOVERNANCE IMPLEMENTATION
- SELF-ASSESSMENT OF GOVERNANCE
- REPORT ON MAIN RESULTS OF INTERNAL AUDIT FUNCTION; AND
- COMPLIANCE REPORT")</f>
        <v>TKS REPORT INCLUDES:
- RESULT OF RISK PROFILE SELF-ASSESSMENT
- REPORT ON GOVERNANCE IMPLEMENTATION
- SELF-ASSESSMENT OF GOVERNANCE
- REPORT ON MAIN RESULTS OF INTERNAL AUDIT FUNCTION; AND
- COMPLIANCE REPORT</v>
      </c>
      <c r="C30" s="13" t="str">
        <f>IFERROR(__xludf.DUMMYFUNCTION("GOOGLETRANSLATE(Indonesia!C30,""IN"",""EN"")"),"OJK / ONLINE (APOLO)")</f>
        <v>OJK / ONLINE (APOLO)</v>
      </c>
      <c r="D30" s="13" t="str">
        <f>IFERROR(__xludf.DUMMYFUNCTION("GOOGLETRANSLATE(Indonesia!D30,""IN"",""EN"")"),"JULY 31 &amp; JANUARY 31")</f>
        <v>JULY 31 &amp; JANUARY 31</v>
      </c>
      <c r="E30" s="13" t="str">
        <f>IFERROR(__xludf.DUMMYFUNCTION("GOOGLETRANSLATE(Indonesia!E30,""IN"",""EN"")"),"- POJK No. 13/POJK.03/2015 and SEOJK No.01/SEOJK.03/2019,
- POJK 3/POJK.03/2022,
- POJK No. 04/POJK.03/2015 and SEOJK No. 07/SEOJK.03/2016
-POJK No: 4/POJK.03/2015 and SEOJK No: 06/SEOJK/.03/2016
- POJK 23 YEAR 2024")</f>
        <v>- POJK No. 13/POJK.03/2015 and SEOJK No.01/SEOJK.03/2019,
- POJK 3/POJK.03/2022,
- POJK No. 04/POJK.03/2015 and SEOJK No. 07/SEOJK.03/2016
-POJK No: 4/POJK.03/2015 and SEOJK No: 06/SEOJK/.03/2016
- POJK 23 YEAR 2024</v>
      </c>
      <c r="F30" s="24" t="s">
        <v>107</v>
      </c>
    </row>
    <row r="31" ht="24.0" customHeight="1">
      <c r="A31" s="12">
        <v>2.0</v>
      </c>
      <c r="B31" s="13" t="str">
        <f>IFERROR(__xludf.DUMMYFUNCTION("GOOGLETRANSLATE(Indonesia!B31,""IN"",""EN"")"),"LITERACY AND INCLUSION IMPLEMENTATION REPORT")</f>
        <v>LITERACY AND INCLUSION IMPLEMENTATION REPORT</v>
      </c>
      <c r="C31" s="13" t="str">
        <f>IFERROR(__xludf.DUMMYFUNCTION("GOOGLETRANSLATE(Indonesia!C31,""IN"",""EN"")"),"OJK / ONLINE (SIPEDULI)")</f>
        <v>OJK / ONLINE (SIPEDULI)</v>
      </c>
      <c r="D31" s="13" t="str">
        <f>IFERROR(__xludf.DUMMYFUNCTION("GOOGLETRANSLATE(Indonesia!D31,""IN"",""EN"")"),"JULY 31 &amp; JANUARY 31")</f>
        <v>JULY 31 &amp; JANUARY 31</v>
      </c>
      <c r="E31" s="13" t="str">
        <f>IFERROR(__xludf.DUMMYFUNCTION("GOOGLETRANSLATE(Indonesia!E31,""IN"",""EN"")"),"POJK No.76/POJK.07/2016 and SEOJK No.31/SEOJK.07/2017, POJK 3 of 2023, POJK")</f>
        <v>POJK No.76/POJK.07/2016 and SEOJK No.31/SEOJK.07/2017, POJK 3 of 2023, POJK</v>
      </c>
      <c r="F31" s="22" t="s">
        <v>112</v>
      </c>
    </row>
    <row r="32" ht="26.25" customHeight="1">
      <c r="A32" s="12">
        <v>3.0</v>
      </c>
      <c r="B32" s="13" t="str">
        <f>IFERROR(__xludf.DUMMYFUNCTION("GOOGLETRANSLATE(Indonesia!B32,""IN"",""EN"")"),"CUSTOMER COMPLAINT SERVICE REPORT")</f>
        <v>CUSTOMER COMPLAINT SERVICE REPORT</v>
      </c>
      <c r="C32" s="13" t="str">
        <f>IFERROR(__xludf.DUMMYFUNCTION("GOOGLETRANSLATE(Indonesia!C32,""IN"",""EN"")"),"OJK / ONLINE (SIPEDULI)")</f>
        <v>OJK / ONLINE (SIPEDULI)</v>
      </c>
      <c r="D32" s="13" t="str">
        <f>IFERROR(__xludf.DUMMYFUNCTION("GOOGLETRANSLATE(Indonesia!D32,""IN"",""EN"")"),"JULY 10 &amp; JAN 10")</f>
        <v>JULY 10 &amp; JAN 10</v>
      </c>
      <c r="E32" s="13" t="str">
        <f>IFERROR(__xludf.DUMMYFUNCTION("GOOGLETRANSLATE(Indonesia!E32,""IN"",""EN"")"),"POJK 22 of 2023")</f>
        <v>POJK 22 of 2023</v>
      </c>
      <c r="F32" s="25" t="s">
        <v>117</v>
      </c>
    </row>
    <row r="33" ht="25.5" customHeight="1">
      <c r="A33" s="12">
        <v>4.0</v>
      </c>
      <c r="B33" s="13" t="str">
        <f>IFERROR(__xludf.DUMMYFUNCTION("GOOGLETRANSLATE(Indonesia!B33,""IN"",""EN"")"),"RBB IMPLEMENTATION &amp; SUPERVISION REPORT")</f>
        <v>RBB IMPLEMENTATION &amp; SUPERVISION REPORT</v>
      </c>
      <c r="C33" s="13" t="str">
        <f>IFERROR(__xludf.DUMMYFUNCTION("GOOGLETRANSLATE(Indonesia!C33,""IN"",""EN"")"),"OJK / ONLINE (APOLO)")</f>
        <v>OJK / ONLINE (APOLO)</v>
      </c>
      <c r="D33" s="13" t="str">
        <f>IFERROR(__xludf.DUMMYFUNCTION("GOOGLETRANSLATE(Indonesia!D33,""IN"",""EN"")"),"JULY 31 &amp; JANUARY 31")</f>
        <v>JULY 31 &amp; JANUARY 31</v>
      </c>
      <c r="E33" s="13" t="str">
        <f>IFERROR(__xludf.DUMMYFUNCTION("GOOGLETRANSLATE(Indonesia!E33,""IN"",""EN"")"),"POJK No.37/POJK.03/2016 and SEOJK No.52/SEOJK.03/2016")</f>
        <v>POJK No.37/POJK.03/2016 and SEOJK No.52/SEOJK.03/2016</v>
      </c>
      <c r="F33" s="22" t="s">
        <v>122</v>
      </c>
    </row>
    <row r="34" ht="24.0" customHeight="1">
      <c r="A34" s="12">
        <v>5.0</v>
      </c>
      <c r="B34" s="13" t="str">
        <f>IFERROR(__xludf.DUMMYFUNCTION("GOOGLETRANSLATE(Indonesia!B34,""IN"",""EN"")"),"LPS PREMIUM PAYMENT")</f>
        <v>LPS PREMIUM PAYMENT</v>
      </c>
      <c r="C34" s="13" t="str">
        <f>IFERROR(__xludf.DUMMYFUNCTION("GOOGLETRANSLATE(Indonesia!C34,""IN"",""EN"")"),"LPS / OFFLINE (BRI)")</f>
        <v>LPS / OFFLINE (BRI)</v>
      </c>
      <c r="D34" s="13" t="str">
        <f>IFERROR(__xludf.DUMMYFUNCTION("GOOGLETRANSLATE(Indonesia!D34,""IN"",""EN"")"),"JULY 31 &amp; JANUARY 31")</f>
        <v>JULY 31 &amp; JANUARY 31</v>
      </c>
      <c r="E34" s="13" t="str">
        <f>IFERROR(__xludf.DUMMYFUNCTION("GOOGLETRANSLATE(Indonesia!E34,""IN"",""EN"")"),"PLPS I/2008 latest regulation PLPS No. 2/2018, PLPS No
7 Year 2019")</f>
        <v>PLPS I/2008 latest regulation PLPS No. 2/2018, PLPS No
7 Year 2019</v>
      </c>
      <c r="F34" s="20" t="s">
        <v>127</v>
      </c>
    </row>
    <row r="35" ht="27.0" customHeight="1">
      <c r="A35" s="12">
        <v>6.0</v>
      </c>
      <c r="B35" s="13" t="str">
        <f>IFERROR(__xludf.DUMMYFUNCTION("GOOGLETRANSLATE(Indonesia!B35,""IN"",""EN"")"),"REPORT ON THE REALIZATION OF THE IMPLEMENTATION OF RISK MANAGEMENT")</f>
        <v>REPORT ON THE REALIZATION OF THE IMPLEMENTATION OF RISK MANAGEMENT</v>
      </c>
      <c r="C35" s="13" t="str">
        <f>IFERROR(__xludf.DUMMYFUNCTION("GOOGLETRANSLATE(Indonesia!C35,""IN"",""EN"")"),"OJK / OFFLINE")</f>
        <v>OJK / OFFLINE</v>
      </c>
      <c r="D35" s="13" t="str">
        <f>IFERROR(__xludf.DUMMYFUNCTION("GOOGLETRANSLATE(Indonesia!D35,""IN"",""EN"")"),"JULY 31 &amp; JANUARY 31")</f>
        <v>JULY 31 &amp; JANUARY 31</v>
      </c>
      <c r="E35" s="13" t="str">
        <f>IFERROR(__xludf.DUMMYFUNCTION("GOOGLETRANSLATE(Indonesia!E35,""IN"",""EN"")"),"POJK No. 13/POJK.03/2015 and SEOJK No.01/SEOJK.03/2019")</f>
        <v>POJK No. 13/POJK.03/2015 and SEOJK No.01/SEOJK.03/2019</v>
      </c>
      <c r="F35" s="22" t="s">
        <v>132</v>
      </c>
    </row>
    <row r="36" ht="24.0" customHeight="1">
      <c r="A36" s="12">
        <v>7.0</v>
      </c>
      <c r="B36" s="13" t="str">
        <f>IFERROR(__xludf.DUMMYFUNCTION("GOOGLETRANSLATE(Indonesia!B36,""IN"",""EN"")"),"REALIZATION REPORT OF DATA UPDATE
(INCLUDE RRBB REPORT NO. 5)")</f>
        <v>REALIZATION REPORT OF DATA UPDATE
(INCLUDE RRBB REPORT NO. 5)</v>
      </c>
      <c r="C36" s="13" t="str">
        <f>IFERROR(__xludf.DUMMYFUNCTION("GOOGLETRANSLATE(Indonesia!C36,""IN"",""EN"")"),"OJK / ONLINE (APOLO)")</f>
        <v>OJK / ONLINE (APOLO)</v>
      </c>
      <c r="D36" s="13" t="str">
        <f>IFERROR(__xludf.DUMMYFUNCTION("GOOGLETRANSLATE(Indonesia!D36,""IN"",""EN"")"),"JULY 31 &amp; JANUARY 31")</f>
        <v>JULY 31 &amp; JANUARY 31</v>
      </c>
      <c r="E36" s="13" t="str">
        <f>IFERROR(__xludf.DUMMYFUNCTION("GOOGLETRANSLATE(Indonesia!E36,""IN"",""EN"")"),"POJK No. 23/POJK.01/2019 and SEOJK No.
29/SEOJK.03/2019, POJK 23 YEAR 2024")</f>
        <v>POJK No. 23/POJK.01/2019 and SEOJK No.
29/SEOJK.03/2019, POJK 23 YEAR 2024</v>
      </c>
      <c r="F36" s="22" t="s">
        <v>137</v>
      </c>
    </row>
    <row r="37" ht="22.5" customHeight="1">
      <c r="A37" s="12">
        <v>8.0</v>
      </c>
      <c r="B37" s="13" t="str">
        <f>IFERROR(__xludf.DUMMYFUNCTION("GOOGLETRANSLATE(Indonesia!B37,""IN"",""EN"")"),"ANTI FRAUD STRATEGY REPORT")</f>
        <v>ANTI FRAUD STRATEGY REPORT</v>
      </c>
      <c r="C37" s="13" t="str">
        <f>IFERROR(__xludf.DUMMYFUNCTION("GOOGLETRANSLATE(Indonesia!C37,""IN"",""EN"")"),"OJK / ONLINE (APOLO)")</f>
        <v>OJK / ONLINE (APOLO)</v>
      </c>
      <c r="D37" s="13" t="str">
        <f>IFERROR(__xludf.DUMMYFUNCTION("GOOGLETRANSLATE(Indonesia!D37,""IN"",""EN"")"),"JULY 31 &amp; JANUARY 31")</f>
        <v>JULY 31 &amp; JANUARY 31</v>
      </c>
      <c r="E37" s="13" t="str">
        <f>IFERROR(__xludf.DUMMYFUNCTION("GOOGLETRANSLATE(Indonesia!E37,""IN"",""EN"")"),"POJK 12 OF 2024, POJK 23 OF 2024")</f>
        <v>POJK 12 OF 2024, POJK 23 OF 2024</v>
      </c>
      <c r="F37" s="22" t="s">
        <v>142</v>
      </c>
    </row>
    <row r="38" ht="12.0" customHeight="1">
      <c r="A38" s="8" t="str">
        <f>IFERROR(__xludf.DUMMYFUNCTION("GOOGLETRANSLATE(Indonesia!A38,""IN"",""EN"")"),"ANNUAL")</f>
        <v>ANNUAL</v>
      </c>
      <c r="B38" s="9"/>
      <c r="C38" s="9"/>
      <c r="D38" s="9"/>
      <c r="E38" s="9"/>
      <c r="F38" s="10"/>
    </row>
    <row r="39" ht="23.25" customHeight="1">
      <c r="A39" s="12">
        <v>1.0</v>
      </c>
      <c r="B39" s="13" t="str">
        <f>IFERROR(__xludf.DUMMYFUNCTION("GOOGLETRANSLATE(Indonesia!B39,""IN"",""EN"")"),"RISK MANAGEMENT IMPLEMENTATION ACTION PLAN REPORT")</f>
        <v>RISK MANAGEMENT IMPLEMENTATION ACTION PLAN REPORT</v>
      </c>
      <c r="C39" s="13" t="str">
        <f>IFERROR(__xludf.DUMMYFUNCTION("GOOGLETRANSLATE(Indonesia!C39,""IN"",""EN"")"),"OJK / OFFLINE")</f>
        <v>OJK / OFFLINE</v>
      </c>
      <c r="D39" s="13" t="str">
        <f>IFERROR(__xludf.DUMMYFUNCTION("GOOGLETRANSLATE(Indonesia!D39,""IN"",""EN"")"),"JUNE 30, 2016")</f>
        <v>JUNE 30, 2016</v>
      </c>
      <c r="E39" s="13" t="str">
        <f>IFERROR(__xludf.DUMMYFUNCTION("GOOGLETRANSLATE(Indonesia!E39,""IN"",""EN"")"),"POJK No. 13/POJK.03/2015 and SEOJK No.01/SEOJK.03/2019")</f>
        <v>POJK No. 13/POJK.03/2015 and SEOJK No.01/SEOJK.03/2019</v>
      </c>
      <c r="F39" s="22" t="s">
        <v>148</v>
      </c>
    </row>
    <row r="40" ht="24.0" customHeight="1">
      <c r="A40" s="12">
        <v>2.0</v>
      </c>
      <c r="B40" s="13" t="str">
        <f>IFERROR(__xludf.DUMMYFUNCTION("GOOGLETRANSLATE(Indonesia!B40,""IN"",""EN"")"),"IT AUDIT IMPLEMENTATION REPORT")</f>
        <v>IT AUDIT IMPLEMENTATION REPORT</v>
      </c>
      <c r="C40" s="13" t="str">
        <f>IFERROR(__xludf.DUMMYFUNCTION("GOOGLETRANSLATE(Indonesia!C40,""IN"",""EN"")"),"OJK / OFFLINE")</f>
        <v>OJK / OFFLINE</v>
      </c>
      <c r="D40" s="13" t="str">
        <f>IFERROR(__xludf.DUMMYFUNCTION("GOOGLETRANSLATE(Indonesia!D40,""IN"",""EN"")"),"JANUARY 31")</f>
        <v>JANUARY 31</v>
      </c>
      <c r="E40" s="13" t="str">
        <f>IFERROR(__xludf.DUMMYFUNCTION("GOOGLETRANSLATE(Indonesia!E40,""IN"",""EN"")"),"POJK No. 75/POJK.03/2016 Article
22 paragraph 1")</f>
        <v>POJK No. 75/POJK.03/2016 Article
22 paragraph 1</v>
      </c>
      <c r="F40" s="30" t="s">
        <v>153</v>
      </c>
    </row>
    <row r="41" ht="24.0" customHeight="1">
      <c r="A41" s="12">
        <v>3.0</v>
      </c>
      <c r="B41" s="13" t="str">
        <f>IFERROR(__xludf.DUMMYFUNCTION("GOOGLETRANSLATE(Indonesia!B41,""IN"",""EN"")"),"BANK BUSINESS PLAN REPORT")</f>
        <v>BANK BUSINESS PLAN REPORT</v>
      </c>
      <c r="C41" s="13" t="str">
        <f>IFERROR(__xludf.DUMMYFUNCTION("GOOGLETRANSLATE(Indonesia!C41,""IN"",""EN"")"),"OJK / ONLINE (APOLO)")</f>
        <v>OJK / ONLINE (APOLO)</v>
      </c>
      <c r="D41" s="13" t="str">
        <f>IFERROR(__xludf.DUMMYFUNCTION("GOOGLETRANSLATE(Indonesia!D41,""IN"",""EN"")"),"DECEMBER 15")</f>
        <v>DECEMBER 15</v>
      </c>
      <c r="E41" s="13" t="str">
        <f>IFERROR(__xludf.DUMMYFUNCTION("GOOGLETRANSLATE(Indonesia!E41,""IN"",""EN"")"),"POJK No. 37/POJK.03/2016 updated with POJK No. 15/POJK.03/2021")</f>
        <v>POJK No. 37/POJK.03/2016 updated with POJK No. 15/POJK.03/2021</v>
      </c>
      <c r="F41" s="22" t="s">
        <v>158</v>
      </c>
    </row>
    <row r="42" ht="30.75" customHeight="1">
      <c r="A42" s="12">
        <v>4.0</v>
      </c>
      <c r="B42" s="13" t="str">
        <f>IFERROR(__xludf.DUMMYFUNCTION("GOOGLETRANSLATE(Indonesia!B42,""IN"",""EN"")"),"DATA UPDATE PLAN REPORT
(INCLUDE RBB REPORT)")</f>
        <v>DATA UPDATE PLAN REPORT
(INCLUDE RBB REPORT)</v>
      </c>
      <c r="C42" s="13" t="str">
        <f>IFERROR(__xludf.DUMMYFUNCTION("GOOGLETRANSLATE(Indonesia!C42,""IN"",""EN"")"),"OJK / ONLINE (APOLO)")</f>
        <v>OJK / ONLINE (APOLO)</v>
      </c>
      <c r="D42" s="13" t="str">
        <f>IFERROR(__xludf.DUMMYFUNCTION("GOOGLETRANSLATE(Indonesia!D42,""IN"",""EN"")"),"DECEMBER 15")</f>
        <v>DECEMBER 15</v>
      </c>
      <c r="E42" s="13" t="str">
        <f>IFERROR(__xludf.DUMMYFUNCTION("GOOGLETRANSLATE(Indonesia!E42,""IN"",""EN"")"),"POJK No. 23/POJK.01/2019 and SEOJK No. 29/SEOJK.03/2019, POJK 23 OF 2024")</f>
        <v>POJK No. 23/POJK.01/2019 and SEOJK No. 29/SEOJK.03/2019, POJK 23 OF 2024</v>
      </c>
      <c r="F42" s="31" t="s">
        <v>163</v>
      </c>
    </row>
    <row r="43" ht="34.5" customHeight="1">
      <c r="A43" s="12">
        <v>5.0</v>
      </c>
      <c r="B43" s="13" t="str">
        <f>IFERROR(__xludf.DUMMYFUNCTION("GOOGLETRANSLATE(Indonesia!B43,""IN"",""EN"")"),"ANNUAL REPORT INCLUDES TRANSPARENCY REPORT ON GOVERNANCE IMPLEMENTATION AND ANNOUNCEMENT OF ANNUAL REPORT")</f>
        <v>ANNUAL REPORT INCLUDES TRANSPARENCY REPORT ON GOVERNANCE IMPLEMENTATION AND ANNOUNCEMENT OF ANNUAL REPORT</v>
      </c>
      <c r="C43" s="13" t="str">
        <f>IFERROR(__xludf.DUMMYFUNCTION("GOOGLETRANSLATE(Indonesia!C43,""IN"",""EN"")"),"OJK / ONLINE (APOLO) &amp; BPR WEBSITE")</f>
        <v>OJK / ONLINE (APOLO) &amp; BPR WEBSITE</v>
      </c>
      <c r="D43" s="13" t="str">
        <f>IFERROR(__xludf.DUMMYFUNCTION("GOOGLETRANSLATE(Indonesia!D43,""IN"",""EN"")"),"APRIL 30")</f>
        <v>APRIL 30</v>
      </c>
      <c r="E43" s="13" t="str">
        <f>IFERROR(__xludf.DUMMYFUNCTION("GOOGLETRANSLATE(Indonesia!E43,""IN"",""EN"")"),"SEOJK NO. 39/SEOJK.03/2017, POJK 23 YEAR 2024")</f>
        <v>SEOJK NO. 39/SEOJK.03/2017, POJK 23 YEAR 2024</v>
      </c>
      <c r="F43" s="31" t="s">
        <v>168</v>
      </c>
    </row>
    <row r="44" ht="24.75" customHeight="1">
      <c r="A44" s="12">
        <v>6.0</v>
      </c>
      <c r="B44" s="13" t="str">
        <f>IFERROR(__xludf.DUMMYFUNCTION("GOOGLETRANSLATE(Indonesia!B44,""IN"",""EN"")"),"ANNUAL TAX REPORT")</f>
        <v>ANNUAL TAX REPORT</v>
      </c>
      <c r="C44" s="13" t="str">
        <f>IFERROR(__xludf.DUMMYFUNCTION("GOOGLETRANSLATE(Indonesia!C44,""IN"",""EN"")"),"DIRECTORATE GENERAL OF TAXES / OFFLINE (EOI)")</f>
        <v>DIRECTORATE GENERAL OF TAXES / OFFLINE (EOI)</v>
      </c>
      <c r="D44" s="13" t="str">
        <f>IFERROR(__xludf.DUMMYFUNCTION("GOOGLETRANSLATE(Indonesia!D44,""IN"",""EN"")"),"APRIL 30")</f>
        <v>APRIL 30</v>
      </c>
      <c r="E44" s="13" t="str">
        <f>IFERROR(__xludf.DUMMYFUNCTION("GOOGLETRANSLATE(Indonesia!E44,""IN"",""EN"")"),"PER04/PJ/2018 &amp; PER41/PJ/2015")</f>
        <v>PER04/PJ/2018 &amp; PER41/PJ/2015</v>
      </c>
      <c r="F44" s="31" t="s">
        <v>173</v>
      </c>
    </row>
    <row r="45" ht="24.0" customHeight="1">
      <c r="A45" s="12">
        <v>7.0</v>
      </c>
      <c r="B45" s="13" t="str">
        <f>IFERROR(__xludf.DUMMYFUNCTION("GOOGLETRANSLATE(Indonesia!B45,""IN"",""EN"")"),"LPS ANNUAL FINANCIAL REPORT")</f>
        <v>LPS ANNUAL FINANCIAL REPORT</v>
      </c>
      <c r="C45" s="13" t="str">
        <f>IFERROR(__xludf.DUMMYFUNCTION("GOOGLETRANSLATE(Indonesia!C45,""IN"",""EN"")"),"LPS / ONLINE (E-REPORT)")</f>
        <v>LPS / ONLINE (E-REPORT)</v>
      </c>
      <c r="D45" s="13" t="str">
        <f>IFERROR(__xludf.DUMMYFUNCTION("GOOGLETRANSLATE(Indonesia!D45,""IN"",""EN"")"),"MAY 31")</f>
        <v>MAY 31</v>
      </c>
      <c r="E45" s="13" t="str">
        <f>IFERROR(__xludf.DUMMYFUNCTION("GOOGLETRANSLATE(Indonesia!E45,""IN"",""EN"")"),"PLPS I/2008 latest regulation PLPS No. 2/2018, PLPS No
7 Year 2019")</f>
        <v>PLPS I/2008 latest regulation PLPS No. 2/2018, PLPS No
7 Year 2019</v>
      </c>
      <c r="F45" s="22" t="s">
        <v>178</v>
      </c>
    </row>
    <row r="46" ht="24.0" customHeight="1">
      <c r="A46" s="12">
        <v>8.0</v>
      </c>
      <c r="B46" s="13" t="str">
        <f>IFERROR(__xludf.DUMMYFUNCTION("GOOGLETRANSLATE(Indonesia!B46,""IN"",""EN"")"),"FOREIGN CUSTOMER SUBMISSION REPORT")</f>
        <v>FOREIGN CUSTOMER SUBMISSION REPORT</v>
      </c>
      <c r="C46" s="13" t="str">
        <f>IFERROR(__xludf.DUMMYFUNCTION("GOOGLETRANSLATE(Indonesia!C46,""IN"",""EN"")"),"OJK / ONLINE (SIPINA WEB)")</f>
        <v>OJK / ONLINE (SIPINA WEB)</v>
      </c>
      <c r="D46" s="13" t="str">
        <f>IFERROR(__xludf.DUMMYFUNCTION("GOOGLETRANSLATE(Indonesia!D46,""IN"",""EN"")"),"01 AUGUST")</f>
        <v>01 AUGUST</v>
      </c>
      <c r="E46" s="13" t="str">
        <f>IFERROR(__xludf.DUMMYFUNCTION("GOOGLETRANSLATE(Indonesia!E46,""IN"",""EN"")"),"Law No. 9 of 2017 and POJK No. 25/POJK.03/2015")</f>
        <v>Law No. 9 of 2017 and POJK No. 25/POJK.03/2015</v>
      </c>
      <c r="F46" s="22" t="s">
        <v>183</v>
      </c>
    </row>
    <row r="47" ht="24.0" customHeight="1">
      <c r="A47" s="12">
        <v>9.0</v>
      </c>
      <c r="B47" s="13" t="str">
        <f>IFERROR(__xludf.DUMMYFUNCTION("GOOGLETRANSLATE(Indonesia!B47,""IN"",""EN"")"),"SELF ASSESSMENT REPORT EDUCATION &amp; CONSUMER PROTECTION")</f>
        <v>SELF ASSESSMENT REPORT EDUCATION &amp; CONSUMER PROTECTION</v>
      </c>
      <c r="C47" s="13" t="str">
        <f>IFERROR(__xludf.DUMMYFUNCTION("GOOGLETRANSLATE(Indonesia!C47,""IN"",""EN"")"),"OJK / ONLINE (SIPEDULI)")</f>
        <v>OJK / ONLINE (SIPEDULI)</v>
      </c>
      <c r="D47" s="13" t="str">
        <f>IFERROR(__xludf.DUMMYFUNCTION("GOOGLETRANSLATE(Indonesia!D47,""IN"",""EN"")"),"SEPTEMBER 30")</f>
        <v>SEPTEMBER 30</v>
      </c>
      <c r="E47" s="13" t="str">
        <f>IFERROR(__xludf.DUMMYFUNCTION("GOOGLETRANSLATE(Indonesia!E47,""IN"",""EN"")"),"SEOJK No. 02/SEOJK.07/2014")</f>
        <v>SEOJK No. 02/SEOJK.07/2014</v>
      </c>
      <c r="F47" s="31" t="s">
        <v>188</v>
      </c>
    </row>
    <row r="48" ht="46.5" customHeight="1">
      <c r="A48" s="12">
        <v>10.0</v>
      </c>
      <c r="B48" s="13" t="str">
        <f>IFERROR(__xludf.DUMMYFUNCTION("GOOGLETRANSLATE(Indonesia!B48,""IN"",""EN"")"),"ANNOUNCEMENT OF PUBLICATION OF FINANCIAL REPORTS FOR THE PERIOD OF DECEMBER")</f>
        <v>ANNOUNCEMENT OF PUBLICATION OF FINANCIAL REPORTS FOR THE PERIOD OF DECEMBER</v>
      </c>
      <c r="C48" s="13" t="str">
        <f>IFERROR(__xludf.DUMMYFUNCTION("GOOGLETRANSLATE(Indonesia!C48,""IN"",""EN"")"),"OJK / OFFLINE (HARDCOPY) LOCAL DAILY NEWSPAPERS &amp; ANNOUNCEMENT MEDIA IN THE OFFICE")</f>
        <v>OJK / OFFLINE (HARDCOPY) LOCAL DAILY NEWSPAPERS &amp; ANNOUNCEMENT MEDIA IN THE OFFICE</v>
      </c>
      <c r="D48" s="13" t="str">
        <f>IFERROR(__xludf.DUMMYFUNCTION("GOOGLETRANSLATE(Indonesia!D48,""IN"",""EN"")"),"APRIL 30")</f>
        <v>APRIL 30</v>
      </c>
      <c r="E48" s="13" t="str">
        <f>IFERROR(__xludf.DUMMYFUNCTION("GOOGLETRANSLATE(Indonesia!E48,""IN"",""EN"")"),"POJK No.48/2017 and SEOJK No.39/2017, POJK 23 OF 2024")</f>
        <v>POJK No.48/2017 and SEOJK No.39/2017, POJK 23 OF 2024</v>
      </c>
      <c r="F48" s="31" t="s">
        <v>193</v>
      </c>
    </row>
    <row r="49" ht="32.25" customHeight="1">
      <c r="A49" s="12">
        <v>11.0</v>
      </c>
      <c r="B49" s="13" t="str">
        <f>IFERROR(__xludf.DUMMYFUNCTION("GOOGLETRANSLATE(Indonesia!B49,""IN"",""EN"")"),"LITERACY AND INCLUSION PLAN REPORT")</f>
        <v>LITERACY AND INCLUSION PLAN REPORT</v>
      </c>
      <c r="C49" s="13" t="str">
        <f>IFERROR(__xludf.DUMMYFUNCTION("GOOGLETRANSLATE(Indonesia!C49,""IN"",""EN"")"),"OJK / ONLINE (SIPEDULI)")</f>
        <v>OJK / ONLINE (SIPEDULI)</v>
      </c>
      <c r="D49" s="13" t="str">
        <f>IFERROR(__xludf.DUMMYFUNCTION("GOOGLETRANSLATE(Indonesia!D49,""IN"",""EN"")"),"NOVEMBER 30")</f>
        <v>NOVEMBER 30</v>
      </c>
      <c r="E49" s="13" t="str">
        <f>IFERROR(__xludf.DUMMYFUNCTION("GOOGLETRANSLATE(Indonesia!E49,""IN"",""EN"")"),"POJK NO. 76/POJK.07/2016, SEOJK NO 30/SEOJK.07/2017, SEOJK NO 31/SEOJK.07/2017, POJK NO. 03/2023, POJK 22 of 2023")</f>
        <v>POJK NO. 76/POJK.07/2016, SEOJK NO 30/SEOJK.07/2017, SEOJK NO 31/SEOJK.07/2017, POJK NO. 03/2023, POJK 22 of 2023</v>
      </c>
      <c r="F49" s="31" t="s">
        <v>198</v>
      </c>
    </row>
    <row r="50" ht="23.25" customHeight="1">
      <c r="A50" s="12">
        <v>12.0</v>
      </c>
      <c r="B50" s="13" t="str">
        <f>IFERROR(__xludf.DUMMYFUNCTION("GOOGLETRANSLATE(Indonesia!B50,""IN"",""EN"")"),"INDIVIDUAL RISK ASSESSMENT REPORT")</f>
        <v>INDIVIDUAL RISK ASSESSMENT REPORT</v>
      </c>
      <c r="C50" s="13" t="str">
        <f>IFERROR(__xludf.DUMMYFUNCTION("GOOGLETRANSLATE(Indonesia!C50,""IN"",""EN"")"),"OJK / OFFLINE (HARDCOPY)")</f>
        <v>OJK / OFFLINE (HARDCOPY)</v>
      </c>
      <c r="D50" s="13" t="str">
        <f>IFERROR(__xludf.DUMMYFUNCTION("GOOGLETRANSLATE(Indonesia!D50,""IN"",""EN"")"),"JUNE 14")</f>
        <v>JUNE 14</v>
      </c>
      <c r="E50" s="13" t="str">
        <f>IFERROR(__xludf.DUMMYFUNCTION("GOOGLETRANSLATE(Indonesia!E50,""IN"",""EN"")"),"POJK 8 of 2023")</f>
        <v>POJK 8 of 2023</v>
      </c>
      <c r="F50" s="25" t="s">
        <v>203</v>
      </c>
    </row>
    <row r="51" ht="24.0" customHeight="1">
      <c r="A51" s="12">
        <v>13.0</v>
      </c>
      <c r="B51" s="13" t="str">
        <f>IFERROR(__xludf.DUMMYFUNCTION("GOOGLETRANSLATE(Indonesia!B51,""IN"",""EN"")"),"AP/KAP APPOINTMENT REPORT")</f>
        <v>AP/KAP APPOINTMENT REPORT</v>
      </c>
      <c r="C51" s="13" t="str">
        <f>IFERROR(__xludf.DUMMYFUNCTION("GOOGLETRANSLATE(Indonesia!C51,""IN"",""EN"")"),"OJK / ONLINE (APOLO)")</f>
        <v>OJK / ONLINE (APOLO)</v>
      </c>
      <c r="D51" s="13" t="str">
        <f>IFERROR(__xludf.DUMMYFUNCTION("GOOGLETRANSLATE(Indonesia!D51,""IN"",""EN"")"),"10 HK AFTER PKS
WITH KAP")</f>
        <v>10 HK AFTER PKS
WITH KAP</v>
      </c>
      <c r="E51" s="13" t="str">
        <f>IFERROR(__xludf.DUMMYFUNCTION("GOOGLETRANSLATE(Indonesia!E51,""IN"",""EN"")"),"POJK 9 YEAR 2023, POJK 23 YEAR 2024")</f>
        <v>POJK 9 YEAR 2023, POJK 23 YEAR 2024</v>
      </c>
      <c r="F51" s="22" t="s">
        <v>208</v>
      </c>
    </row>
    <row r="52" ht="33.0" customHeight="1">
      <c r="A52" s="12">
        <v>14.0</v>
      </c>
      <c r="B52" s="13" t="str">
        <f>IFERROR(__xludf.DUMMYFUNCTION("GOOGLETRANSLATE(Indonesia!B52,""IN"",""EN"")"),"AP/KAP REALIZATION REPORT")</f>
        <v>AP/KAP REALIZATION REPORT</v>
      </c>
      <c r="C52" s="13" t="str">
        <f>IFERROR(__xludf.DUMMYFUNCTION("GOOGLETRANSLATE(Indonesia!C52,""IN"",""EN"")"),"OJK / ONLINE (APOLO)")</f>
        <v>OJK / ONLINE (APOLO)</v>
      </c>
      <c r="D52" s="13" t="str">
        <f>IFERROR(__xludf.DUMMYFUNCTION("GOOGLETRANSLATE(Indonesia!D52,""IN"",""EN"")"),"JUNE 30 (MAXIMUM 6 MONTHS AFTER THE END OF THE FISCAL YEAR)")</f>
        <v>JUNE 30 (MAXIMUM 6 MONTHS AFTER THE END OF THE FISCAL YEAR)</v>
      </c>
      <c r="E52" s="13" t="str">
        <f>IFERROR(__xludf.DUMMYFUNCTION("GOOGLETRANSLATE(Indonesia!E52,""IN"",""EN"")"),"POJK 9 YEAR 2023, POJK 23 YEAR 2024")</f>
        <v>POJK 9 YEAR 2023, POJK 23 YEAR 2024</v>
      </c>
      <c r="F52" s="31" t="s">
        <v>208</v>
      </c>
    </row>
    <row r="53" ht="18.0" customHeight="1">
      <c r="A53" s="8" t="str">
        <f>IFERROR(__xludf.DUMMYFUNCTION("GOOGLETRANSLATE(Indonesia!A53,""IN"",""EN"")"),"INCIDENTAL")</f>
        <v>INCIDENTAL</v>
      </c>
      <c r="B53" s="9"/>
      <c r="C53" s="9"/>
      <c r="D53" s="9"/>
      <c r="E53" s="9"/>
      <c r="F53" s="10"/>
    </row>
    <row r="54" ht="24.0" customHeight="1">
      <c r="A54" s="12">
        <v>1.0</v>
      </c>
      <c r="B54" s="13" t="str">
        <f>IFERROR(__xludf.DUMMYFUNCTION("GOOGLETRANSLATE(Indonesia!B54,""IN"",""EN"")"),"DTTOT &amp; PPSPM REPORT")</f>
        <v>DTTOT &amp; PPSPM REPORT</v>
      </c>
      <c r="C54" s="13" t="str">
        <f>IFERROR(__xludf.DUMMYFUNCTION("GOOGLETRANSLATE(Indonesia!C54,""IN"",""EN"")"),"OJK / ONLINE (SIGAP)")</f>
        <v>OJK / ONLINE (SIGAP)</v>
      </c>
      <c r="D54" s="13" t="str">
        <f>IFERROR(__xludf.DUMMYFUNCTION("GOOGLETRANSLATE(Indonesia!D54,""IN"",""EN"")"),"ACCORDING TO INCOMING EMAIL")</f>
        <v>ACCORDING TO INCOMING EMAIL</v>
      </c>
      <c r="E54" s="13" t="str">
        <f>IFERROR(__xludf.DUMMYFUNCTION("GOOGLETRANSLATE(Indonesia!E54,""IN"",""EN"")"),"-")</f>
        <v>-</v>
      </c>
      <c r="F54" s="17"/>
    </row>
    <row r="55" ht="24.0" customHeight="1">
      <c r="A55" s="12">
        <v>2.0</v>
      </c>
      <c r="B55" s="13" t="str">
        <f>IFERROR(__xludf.DUMMYFUNCTION("GOOGLETRANSLATE(Indonesia!B55,""IN"",""EN"")"),"ANTI FRAUD STRATEGY REPORT (FRAUD INCIDENTS)")</f>
        <v>ANTI FRAUD STRATEGY REPORT (FRAUD INCIDENTS)</v>
      </c>
      <c r="C55" s="13" t="str">
        <f>IFERROR(__xludf.DUMMYFUNCTION("GOOGLETRANSLATE(Indonesia!C55,""IN"",""EN"")"),"OJK / ONLINE (APOLO)")</f>
        <v>OJK / ONLINE (APOLO)</v>
      </c>
      <c r="D55" s="13" t="str">
        <f>IFERROR(__xludf.DUMMYFUNCTION("GOOGLETRANSLATE(Indonesia!D55,""IN"",""EN"")"),"3 HK AFTER THE EVENT")</f>
        <v>3 HK AFTER THE EVENT</v>
      </c>
      <c r="E55" s="13" t="str">
        <f>IFERROR(__xludf.DUMMYFUNCTION("GOOGLETRANSLATE(Indonesia!E55,""IN"",""EN"")"),"POJK 12 OF 2024, POJK 23 OF 2024")</f>
        <v>POJK 12 OF 2024, POJK 23 OF 2024</v>
      </c>
      <c r="F55" s="31" t="s">
        <v>142</v>
      </c>
    </row>
    <row r="56" ht="42.0" customHeight="1">
      <c r="A56" s="12">
        <v>3.0</v>
      </c>
      <c r="B56" s="13" t="str">
        <f>IFERROR(__xludf.DUMMYFUNCTION("GOOGLETRANSLATE(Indonesia!B56,""IN"",""EN"")"),"SUBMISSION OF CODE NUMBERS AND REPORT SUBMISSION OBLIGATIONS FOR NEW BPR/BPRS")</f>
        <v>SUBMISSION OF CODE NUMBERS AND REPORT SUBMISSION OBLIGATIONS FOR NEW BPR/BPRS</v>
      </c>
      <c r="C56" s="13" t="str">
        <f>IFERROR(__xludf.DUMMYFUNCTION("GOOGLETRANSLATE(Indonesia!C56,""IN"",""EN"")"),"OJK / ONLINE (APOLO)")</f>
        <v>OJK / ONLINE (APOLO)</v>
      </c>
      <c r="D56" s="13" t="str">
        <f>IFERROR(__xludf.DUMMYFUNCTION("GOOGLETRANSLATE(Indonesia!D56,""IN"",""EN"")"),"1 MONTH AFTER BPR/BPRS CONDUCTS OPERATIONAL ACTIVITIES.")</f>
        <v>1 MONTH AFTER BPR/BPRS CONDUCTS OPERATIONAL ACTIVITIES.</v>
      </c>
      <c r="E56" s="13" t="str">
        <f>IFERROR(__xludf.DUMMYFUNCTION("GOOGLETRANSLATE(Indonesia!E56,""IN"",""EN"")"),"POJK 23 OF 2024")</f>
        <v>POJK 23 OF 2024</v>
      </c>
      <c r="F56" s="24" t="s">
        <v>226</v>
      </c>
    </row>
    <row r="57" ht="23.25" customHeight="1">
      <c r="A57" s="12">
        <v>4.0</v>
      </c>
      <c r="B57" s="13" t="str">
        <f>IFERROR(__xludf.DUMMYFUNCTION("GOOGLETRANSLATE(Indonesia!B57,""IN"",""EN"")"),"REPORT ON THE IMPLEMENTATION OF MERGER, CONSOLIDATION AND ACQUISITION")</f>
        <v>REPORT ON THE IMPLEMENTATION OF MERGER, CONSOLIDATION AND ACQUISITION</v>
      </c>
      <c r="C57" s="13" t="str">
        <f>IFERROR(__xludf.DUMMYFUNCTION("GOOGLETRANSLATE(Indonesia!C57,""IN"",""EN"")"),"OJK / ONLINE (APOLO)")</f>
        <v>OJK / ONLINE (APOLO)</v>
      </c>
      <c r="D57" s="13" t="str">
        <f>IFERROR(__xludf.DUMMYFUNCTION("GOOGLETRANSLATE(Indonesia!D57,""IN"",""EN"")"),"NO LATER THAN 10 DAYS AFTER THE ANNOUNCEMENT DATE")</f>
        <v>NO LATER THAN 10 DAYS AFTER THE ANNOUNCEMENT DATE</v>
      </c>
      <c r="E57" s="13" t="str">
        <f>IFERROR(__xludf.DUMMYFUNCTION("GOOGLETRANSLATE(Indonesia!E57,""IN"",""EN"")"),"POJK NO 7 OF 2024 CONCERNING PEOPLE'S ECONOMIC BANKS AND SHARIA PEOPLE'S ECONOMIC BANKS
CHAPTER VII CONCERNING MERGER, MERGERS, AND TAKEOVERS")</f>
        <v>POJK NO 7 OF 2024 CONCERNING PEOPLE'S ECONOMIC BANKS AND SHARIA PEOPLE'S ECONOMIC BANKS
CHAPTER VII CONCERNING MERGER, MERGERS, AND TAKEOVERS</v>
      </c>
      <c r="F57" s="33" t="s">
        <v>231</v>
      </c>
    </row>
    <row r="58" ht="23.25" customHeight="1">
      <c r="A58" s="12">
        <v>5.0</v>
      </c>
      <c r="B58" s="13" t="str">
        <f>IFERROR(__xludf.DUMMYFUNCTION("GOOGLETRANSLATE(Indonesia!B58,""IN"",""EN"")"),"REPORT ON THE RESULTS OF CHANGING BUSINESS LICENSE FROM BUK/BUS TO BPR/BPRS")</f>
        <v>REPORT ON THE RESULTS OF CHANGING BUSINESS LICENSE FROM BUK/BUS TO BPR/BPRS</v>
      </c>
      <c r="C58" s="13" t="str">
        <f>IFERROR(__xludf.DUMMYFUNCTION("GOOGLETRANSLATE(Indonesia!C58,""IN"",""EN"")"),"OJK / ONLINE (APOLO)")</f>
        <v>OJK / ONLINE (APOLO)</v>
      </c>
      <c r="D58" s="13" t="str">
        <f>IFERROR(__xludf.DUMMYFUNCTION("GOOGLETRANSLATE(Indonesia!D58,""IN"",""EN"")"),"NO LATER THAN 10 DAYS AFTER THE DATE OF THE LETTER OF APPROVAL FOR CHANGES TO THE ARTICLES OF ASSOCIATION FROM THE AUTHORIZED AGENCY")</f>
        <v>NO LATER THAN 10 DAYS AFTER THE DATE OF THE LETTER OF APPROVAL FOR CHANGES TO THE ARTICLES OF ASSOCIATION FROM THE AUTHORIZED AGENCY</v>
      </c>
      <c r="E58" s="13" t="str">
        <f>IFERROR(__xludf.DUMMYFUNCTION("GOOGLETRANSLATE(Indonesia!E58,""IN"",""EN"")"),"POJK NO 7 OF 2024 ON PEOPLE'S ECONOMIC BANKS AND SHARIA PEOPLE'S ECONOMIC BANKS
Part Three Changes in Business Licenses of BUK or BUS to BPR or BPR Syariah")</f>
        <v>POJK NO 7 OF 2024 ON PEOPLE'S ECONOMIC BANKS AND SHARIA PEOPLE'S ECONOMIC BANKS
Part Three Changes in Business Licenses of BUK or BUS to BPR or BPR Syariah</v>
      </c>
      <c r="F58" s="33" t="s">
        <v>231</v>
      </c>
    </row>
    <row r="59">
      <c r="A59" s="12">
        <v>6.0</v>
      </c>
      <c r="B59" s="13" t="str">
        <f>IFERROR(__xludf.DUMMYFUNCTION("GOOGLETRANSLATE(Indonesia!B59,""IN"",""EN"")"),"REPORT ON CHANGES IN OWNERS, BOARD OF DIRECTORS, BOARD OF COMMISSIONERS, OR MANAGEMENT OF A PSP IN THE FORM OF A LEGAL ENTITY")</f>
        <v>REPORT ON CHANGES IN OWNERS, BOARD OF DIRECTORS, BOARD OF COMMISSIONERS, OR MANAGEMENT OF A PSP IN THE FORM OF A LEGAL ENTITY</v>
      </c>
      <c r="C59" s="13" t="str">
        <f>IFERROR(__xludf.DUMMYFUNCTION("GOOGLETRANSLATE(Indonesia!C59,""IN"",""EN"")"),"OJK / ONLINE (SIJINGGA)")</f>
        <v>OJK / ONLINE (SIJINGGA)</v>
      </c>
      <c r="D59" s="13" t="str">
        <f>IFERROR(__xludf.DUMMYFUNCTION("GOOGLETRANSLATE(Indonesia!D59,""IN"",""EN"")"),"AT THE LATEST 1 MONTH AFTER THE CHANGE OCCURRED")</f>
        <v>AT THE LATEST 1 MONTH AFTER THE CHANGE OCCURRED</v>
      </c>
      <c r="E59" s="13" t="str">
        <f>IFERROR(__xludf.DUMMYFUNCTION("GOOGLETRANSLATE(Indonesia!E59,""IN"",""EN"")"),"POJK NO 7 OF 2024 CONCERNING PEOPLE'S ECONOMIC BANKS AND SHARIA PEOPLE'S ECONOMIC BANKS Article 34")</f>
        <v>POJK NO 7 OF 2024 CONCERNING PEOPLE'S ECONOMIC BANKS AND SHARIA PEOPLE'S ECONOMIC BANKS Article 34</v>
      </c>
      <c r="F59" s="33" t="s">
        <v>231</v>
      </c>
    </row>
    <row r="60">
      <c r="A60" s="12">
        <v>7.0</v>
      </c>
      <c r="B60" s="13" t="str">
        <f>IFERROR(__xludf.DUMMYFUNCTION("GOOGLETRANSLATE(Indonesia!B60,""IN"",""EN"")"),"REPORT ON INCREASES IN PAID-IN CAPITAL AND/OR CHANGES IN SHARE OWNERSHIP WHICH DO NOT RESULT IN CHANGES IN PSP")</f>
        <v>REPORT ON INCREASES IN PAID-IN CAPITAL AND/OR CHANGES IN SHARE OWNERSHIP WHICH DO NOT RESULT IN CHANGES IN PSP</v>
      </c>
      <c r="C60" s="13" t="str">
        <f>IFERROR(__xludf.DUMMYFUNCTION("GOOGLETRANSLATE(Indonesia!C60,""IN"",""EN"")"),"OJK / ONLINE (SIJINGGA)")</f>
        <v>OJK / ONLINE (SIJINGGA)</v>
      </c>
      <c r="D60" s="13" t="str">
        <f>IFERROR(__xludf.DUMMYFUNCTION("GOOGLETRANSLATE(Indonesia!D60,""IN"",""EN"")"),"NO LATER THAN 10 HK AFTER THE DATE OF THE RECEIPT LETTER OF NOTIFICATION OF DATA CHANGES FROM THE AUTHORIZED AGENCY.")</f>
        <v>NO LATER THAN 10 HK AFTER THE DATE OF THE RECEIPT LETTER OF NOTIFICATION OF DATA CHANGES FROM THE AUTHORIZED AGENCY.</v>
      </c>
      <c r="E60" s="13" t="str">
        <f>IFERROR(__xludf.DUMMYFUNCTION("GOOGLETRANSLATE(Indonesia!E60,""IN"",""EN"")"),"POJK NO 7 OF 2024 CONCERNING PEOPLE'S BANKS AND SHARIA PEOPLE'S BANKS Part Two Increase in Paid-in Capital and/or Changes in Share Ownership Resulting in Changes in PSP Article 37
")</f>
        <v>POJK NO 7 OF 2024 CONCERNING PEOPLE'S BANKS AND SHARIA PEOPLE'S BANKS Part Two Increase in Paid-in Capital and/or Changes in Share Ownership Resulting in Changes in PSP Article 37
</v>
      </c>
      <c r="F60" s="33" t="s">
        <v>231</v>
      </c>
    </row>
    <row r="61" ht="45.0" customHeight="1">
      <c r="A61" s="12">
        <v>8.0</v>
      </c>
      <c r="B61" s="13" t="str">
        <f>IFERROR(__xludf.DUMMYFUNCTION("GOOGLETRANSLATE(Indonesia!B61,""IN"",""EN"")"),"REPORT ON THE PLAN FOR CHANGING THE STRUCTURE OF BUSINESS GROUPS RELATED TO BANK INCLUDING THE LEGAL ENTITY OWNERS OF THE BANK UP TO ULTIMATE SHAREHOLDERS")</f>
        <v>REPORT ON THE PLAN FOR CHANGING THE STRUCTURE OF BUSINESS GROUPS RELATED TO BANK INCLUDING THE LEGAL ENTITY OWNERS OF THE BANK UP TO ULTIMATE SHAREHOLDERS</v>
      </c>
      <c r="C61" s="13" t="str">
        <f>IFERROR(__xludf.DUMMYFUNCTION("GOOGLETRANSLATE(Indonesia!C61,""IN"",""EN"")"),"#VALUE!")</f>
        <v>#VALUE!</v>
      </c>
      <c r="D61" s="13" t="str">
        <f>IFERROR(__xludf.DUMMYFUNCTION("GOOGLETRANSLATE(Indonesia!D61,""IN"",""EN"")"),"AT THE LATER THAN 1 MONTH BEFORE THE CHANGE OCCURRES.")</f>
        <v>AT THE LATER THAN 1 MONTH BEFORE THE CHANGE OCCURRES.</v>
      </c>
      <c r="E61" s="13"/>
      <c r="F61" s="14"/>
    </row>
    <row r="62">
      <c r="A62" s="12">
        <v>9.0</v>
      </c>
      <c r="B62" s="13" t="str">
        <f>IFERROR(__xludf.DUMMYFUNCTION("GOOGLETRANSLATE(Indonesia!B62,""IN"",""EN"")"),"REPORT ON THE IMPLEMENTATION OF CHANGES IN SHARE OWNERSHIP RESULTING IN CHANGES IN PSP")</f>
        <v>REPORT ON THE IMPLEMENTATION OF CHANGES IN SHARE OWNERSHIP RESULTING IN CHANGES IN PSP</v>
      </c>
      <c r="C62" s="13" t="str">
        <f>IFERROR(__xludf.DUMMYFUNCTION("GOOGLETRANSLATE(Indonesia!C62,""IN"",""EN"")"),"OJK / ONLINE (SIJINGGA)")</f>
        <v>OJK / ONLINE (SIJINGGA)</v>
      </c>
      <c r="D62" s="13" t="str">
        <f>IFERROR(__xludf.DUMMYFUNCTION("GOOGLETRANSLATE(Indonesia!D62,""IN"",""EN"")"),"NO LATER THAN 10 HK AFTER THE DATE OF THE NOTIFICATION RECEIPT LETTER OF DATA CHANGE FROM THE AUTHORIZED AGENCY")</f>
        <v>NO LATER THAN 10 HK AFTER THE DATE OF THE NOTIFICATION RECEIPT LETTER OF DATA CHANGE FROM THE AUTHORIZED AGENCY</v>
      </c>
      <c r="E62" s="13" t="str">
        <f>IFERROR(__xludf.DUMMYFUNCTION("GOOGLETRANSLATE(Indonesia!E62,""IN"",""EN"")"),"POJK NO 7 OF 2024 CONCERNING PEOPLE'S BANKS AND SHARIA PEOPLE'S BANKS Part Two Increase in Paid-in Capital and/or Changes in Share Ownership Resulting in Changes in PSP Article 37
")</f>
        <v>POJK NO 7 OF 2024 CONCERNING PEOPLE'S BANKS AND SHARIA PEOPLE'S BANKS Part Two Increase in Paid-in Capital and/or Changes in Share Ownership Resulting in Changes in PSP Article 37
</v>
      </c>
      <c r="F62" s="33" t="s">
        <v>231</v>
      </c>
    </row>
    <row r="63">
      <c r="A63" s="12">
        <v>10.0</v>
      </c>
      <c r="B63" s="13" t="str">
        <f>IFERROR(__xludf.DUMMYFUNCTION("GOOGLETRANSLATE(Indonesia!B63,""IN"",""EN"")"),"REPORT ON THE IMPLEMENTATION OF THE INCREASE IN PAID-IN CAPITAL RESULTING IN CHANGES IN PSP")</f>
        <v>REPORT ON THE IMPLEMENTATION OF THE INCREASE IN PAID-IN CAPITAL RESULTING IN CHANGES IN PSP</v>
      </c>
      <c r="C63" s="13" t="str">
        <f>IFERROR(__xludf.DUMMYFUNCTION("GOOGLETRANSLATE(Indonesia!C63,""IN"",""EN"")"),"OJK / ONLINE (SIJINGGA)")</f>
        <v>OJK / ONLINE (SIJINGGA)</v>
      </c>
      <c r="D63" s="13" t="str">
        <f>IFERROR(__xludf.DUMMYFUNCTION("GOOGLETRANSLATE(Indonesia!D63,""IN"",""EN"")"),"AT THE LATEST 10 HK AFTER THE DATE OF THE NOTIFICATION RECEIPT LETTER OF DATA CHANGE FROM THE AUTHORIZED AGENCY")</f>
        <v>AT THE LATEST 10 HK AFTER THE DATE OF THE NOTIFICATION RECEIPT LETTER OF DATA CHANGE FROM THE AUTHORIZED AGENCY</v>
      </c>
      <c r="E63" s="13" t="str">
        <f>IFERROR(__xludf.DUMMYFUNCTION("GOOGLETRANSLATE(Indonesia!E63,""IN"",""EN"")"),"POJK NO 7 OF 2024 CONCERNING PEOPLE'S BANKS AND SHARIA PEOPLE'S BANKS Part Two Increase in Paid-in Capital and/or Changes in Share Ownership Resulting in Changes in PSP Article 37
")</f>
        <v>POJK NO 7 OF 2024 CONCERNING PEOPLE'S BANKS AND SHARIA PEOPLE'S BANKS Part Two Increase in Paid-in Capital and/or Changes in Share Ownership Resulting in Changes in PSP Article 37
</v>
      </c>
      <c r="F63" s="33" t="s">
        <v>231</v>
      </c>
    </row>
    <row r="64">
      <c r="A64" s="12">
        <v>11.0</v>
      </c>
      <c r="B64" s="13" t="str">
        <f>IFERROR(__xludf.DUMMYFUNCTION("GOOGLETRANSLATE(Indonesia!B64,""IN"",""EN"")"),"REPORT ON CHANGES IN AUTHORIZED CAPITAL")</f>
        <v>REPORT ON CHANGES IN AUTHORIZED CAPITAL</v>
      </c>
      <c r="C64" s="13" t="str">
        <f>IFERROR(__xludf.DUMMYFUNCTION("GOOGLETRANSLATE(Indonesia!C64,""IN"",""EN"")"),"OJK / ONLINE (SIJINGGA)")</f>
        <v>OJK / ONLINE (SIJINGGA)</v>
      </c>
      <c r="D64" s="13" t="str">
        <f>IFERROR(__xludf.DUMMYFUNCTION("GOOGLETRANSLATE(Indonesia!D64,""IN"",""EN"")"),"NO LATER THAN 10 HK AFTER THE DATE OF THE APPROVAL LETTER FOR CHANGES TO THE ARTICLES OF ASSOCIATION FROM THE AUTHORIZED AGENCY")</f>
        <v>NO LATER THAN 10 HK AFTER THE DATE OF THE APPROVAL LETTER FOR CHANGES TO THE ARTICLES OF ASSOCIATION FROM THE AUTHORIZED AGENCY</v>
      </c>
      <c r="E64" s="13" t="str">
        <f>IFERROR(__xludf.DUMMYFUNCTION("GOOGLETRANSLATE(Indonesia!E64,""IN"",""EN"")"),"POJK NO 7 OF 2024 CONCERNING PEOPLE'S BANKS AND SHARIA PEOPLE'S BANKS Part Four Changes to Authorized Capital Article 42
")</f>
        <v>POJK NO 7 OF 2024 CONCERNING PEOPLE'S BANKS AND SHARIA PEOPLE'S BANKS Part Four Changes to Authorized Capital Article 42
</v>
      </c>
      <c r="F64" s="33" t="s">
        <v>231</v>
      </c>
    </row>
    <row r="65">
      <c r="A65" s="12">
        <v>12.0</v>
      </c>
      <c r="B65" s="13" t="str">
        <f>IFERROR(__xludf.DUMMYFUNCTION("GOOGLETRANSLATE(Indonesia!B65,""IN"",""EN"")"),"SHARE OWNERSHIP TRANSFER REPORT FOR MAIN PARTIES WHO ARE PROHIBITED FROM BECOMING MAIN CONTROLLING PARTIES OR OWNING SHARES")</f>
        <v>SHARE OWNERSHIP TRANSFER REPORT FOR MAIN PARTIES WHO ARE PROHIBITED FROM BECOMING MAIN CONTROLLING PARTIES OR OWNING SHARES</v>
      </c>
      <c r="C65" s="13"/>
      <c r="D65" s="13" t="str">
        <f>IFERROR(__xludf.DUMMYFUNCTION("GOOGLETRANSLATE(Indonesia!D65,""IN"",""EN"")"),"NO LATER THAN 10 HK AFTER THE DATE OF THE RECEIPT LETTER OF NOTIFICATION OF DATA CHANGES FROM THE AUTHORIZED AGENCY.")</f>
        <v>NO LATER THAN 10 HK AFTER THE DATE OF THE RECEIPT LETTER OF NOTIFICATION OF DATA CHANGES FROM THE AUTHORIZED AGENCY.</v>
      </c>
      <c r="E65" s="13" t="str">
        <f>IFERROR(__xludf.DUMMYFUNCTION("GOOGLETRANSLATE(Indonesia!E65,""IN"",""EN"")"),"POJK NO 7 OF 2024 CONCERNING PEOPLE'S BANKS AND SHARIA PEOPLE'S BANKS Part two Increase in Paid-in Capital and/or Changes in Share Ownership Resulting in Changes in PSP Article 38")</f>
        <v>POJK NO 7 OF 2024 CONCERNING PEOPLE'S BANKS AND SHARIA PEOPLE'S BANKS Part two Increase in Paid-in Capital and/or Changes in Share Ownership Resulting in Changes in PSP Article 38</v>
      </c>
      <c r="F65" s="33" t="s">
        <v>231</v>
      </c>
    </row>
    <row r="66">
      <c r="A66" s="12">
        <v>13.0</v>
      </c>
      <c r="B66" s="13" t="str">
        <f>IFERROR(__xludf.DUMMYFUNCTION("GOOGLETRANSLATE(Indonesia!B66,""IN"",""EN"")"),"SHARE OWNERSHIP TRANSFER REPORT FOR PROSPECTIVE PSP NOT APPROVED BY OJK BUT ALREADY HAVE LJK SHARES")</f>
        <v>SHARE OWNERSHIP TRANSFER REPORT FOR PROSPECTIVE PSP NOT APPROVED BY OJK BUT ALREADY HAVE LJK SHARES</v>
      </c>
      <c r="C66" s="13"/>
      <c r="D66" s="13" t="str">
        <f>IFERROR(__xludf.DUMMYFUNCTION("GOOGLETRANSLATE(Indonesia!D66,""IN"",""EN"")"),"NO LATER THAN 10 HK AFTER THE DATE OF THE RECEIPT LETTER OF NOTIFICATION OF DATA CHANGES FROM THE AUTHORIZED AGENCY.")</f>
        <v>NO LATER THAN 10 HK AFTER THE DATE OF THE RECEIPT LETTER OF NOTIFICATION OF DATA CHANGES FROM THE AUTHORIZED AGENCY.</v>
      </c>
      <c r="E66" s="13" t="str">
        <f>IFERROR(__xludf.DUMMYFUNCTION("GOOGLETRANSLATE(Indonesia!E66,""IN"",""EN"")"),"POJK NO 7 OF 2024 CONCERNING PEOPLE'S ECONOMIC BANKS AND SHARIA PEOPLE'S ECONOMIC BANKS, in articles 40 and 41")</f>
        <v>POJK NO 7 OF 2024 CONCERNING PEOPLE'S ECONOMIC BANKS AND SHARIA PEOPLE'S ECONOMIC BANKS, in articles 40 and 41</v>
      </c>
      <c r="F66" s="33" t="s">
        <v>231</v>
      </c>
    </row>
    <row r="67">
      <c r="A67" s="12">
        <v>14.0</v>
      </c>
      <c r="B67" s="13" t="str">
        <f>IFERROR(__xludf.DUMMYFUNCTION("GOOGLETRANSLATE(Indonesia!B67,""IN"",""EN"")"),"REPORT OF THE GMS ON THE CANCELLATION OF THE APPOINTMENT OF CANDIDATES FOR MEMBERS OF THE BOARD OF DIRECTORS AND/OR CANDIDATES FOR MEMBERS OF THE BOARD OF COMMISSIONERS")</f>
        <v>REPORT OF THE GMS ON THE CANCELLATION OF THE APPOINTMENT OF CANDIDATES FOR MEMBERS OF THE BOARD OF DIRECTORS AND/OR CANDIDATES FOR MEMBERS OF THE BOARD OF COMMISSIONERS</v>
      </c>
      <c r="C67" s="13"/>
      <c r="D67" s="13" t="str">
        <f>IFERROR(__xludf.DUMMYFUNCTION("GOOGLETRANSLATE(Indonesia!D67,""IN"",""EN"")"),"NO LATER THAN 7 HK AFTER THE GMS FOR CANCELLATION OF THE APPOINTMENT OF BOARD OF DIRECTORS MEMBERS OR CANDIDATES FOR BOARD OF COMMISSIONERS MEMBERS.")</f>
        <v>NO LATER THAN 7 HK AFTER THE GMS FOR CANCELLATION OF THE APPOINTMENT OF BOARD OF DIRECTORS MEMBERS OR CANDIDATES FOR BOARD OF COMMISSIONERS MEMBERS.</v>
      </c>
      <c r="E67" s="13" t="str">
        <f>IFERROR(__xludf.DUMMYFUNCTION("GOOGLETRANSLATE(Indonesia!E67,""IN"",""EN"")"),"SEOJK 23/SEOJK.05/2023, POJK No. 33/POJK.04/2014")</f>
        <v>SEOJK 23/SEOJK.05/2023, POJK No. 33/POJK.04/2014</v>
      </c>
      <c r="F67" s="33" t="s">
        <v>260</v>
      </c>
    </row>
    <row r="68">
      <c r="A68" s="12">
        <v>15.0</v>
      </c>
      <c r="B68" s="13" t="str">
        <f>IFERROR(__xludf.DUMMYFUNCTION("GOOGLETRANSLATE(Indonesia!B68,""IN"",""EN"")"),"REPORT ON UPDATES OF DATA AND DOMICILE INFORMATION FROM THE MAIN PARTY AND/OR PARTIES WHO CAN BE CONTACTED")</f>
        <v>REPORT ON UPDATES OF DATA AND DOMICILE INFORMATION FROM THE MAIN PARTY AND/OR PARTIES WHO CAN BE CONTACTED</v>
      </c>
      <c r="C68" s="13"/>
      <c r="D68" s="13" t="str">
        <f>IFERROR(__xludf.DUMMYFUNCTION("GOOGLETRANSLATE(Indonesia!D68,""IN"",""EN"")"),"IN THE EVENT OF CHANGES IN DATA AND DOMICILE INFORMATION, LJK SHALL SUBMIT DATA AND INFORMATION TO THE FINANCIAL SERVICES AUTHORITY")</f>
        <v>IN THE EVENT OF CHANGES IN DATA AND DOMICILE INFORMATION, LJK SHALL SUBMIT DATA AND INFORMATION TO THE FINANCIAL SERVICES AUTHORITY</v>
      </c>
      <c r="E68" s="13" t="str">
        <f>IFERROR(__xludf.DUMMYFUNCTION("GOOGLETRANSLATE(Indonesia!E68,""IN"",""EN"")"),"POJK 14/POJK.03/2021")</f>
        <v>POJK 14/POJK.03/2021</v>
      </c>
      <c r="F68" s="33" t="s">
        <v>264</v>
      </c>
    </row>
    <row r="69">
      <c r="A69" s="12">
        <v>16.0</v>
      </c>
      <c r="B69" s="13" t="str">
        <f>IFERROR(__xludf.DUMMYFUNCTION("GOOGLETRANSLATE(Indonesia!B69,""IN"",""EN"")"),"FOLLOW-UP REPORT ON THE DISMISSAL OF THE MAIN PARTY WHO IS PROHIBITED FROM BEING THE MAIN PARTY OF THE MANAGEMENT AND/OR MAIN PARTY OF THE OFFICERS")</f>
        <v>FOLLOW-UP REPORT ON THE DISMISSAL OF THE MAIN PARTY WHO IS PROHIBITED FROM BEING THE MAIN PARTY OF THE MANAGEMENT AND/OR MAIN PARTY OF THE OFFICERS</v>
      </c>
      <c r="C69" s="13"/>
      <c r="D69" s="13" t="str">
        <f>IFERROR(__xludf.DUMMYFUNCTION("GOOGLETRANSLATE(Indonesia!D69,""IN"",""EN"")"),"NO LATER THAN 10 HK FROM THE DATE OF THE GMS FOR THE DISMISSAL OF THE MAIN PARTY OF THE MANAGEMENT AND/OR THE DATE OF DISMISSAL OF THE MAIN PARTY OF THE OFFICERS")</f>
        <v>NO LATER THAN 10 HK FROM THE DATE OF THE GMS FOR THE DISMISSAL OF THE MAIN PARTY OF THE MANAGEMENT AND/OR THE DATE OF DISMISSAL OF THE MAIN PARTY OF THE OFFICERS</v>
      </c>
      <c r="E69" s="13" t="str">
        <f>IFERROR(__xludf.DUMMYFUNCTION("GOOGLETRANSLATE(Indonesia!E69,""IN"",""EN"")"),"POJK No. 7 of 2024, in article 52")</f>
        <v>POJK No. 7 of 2024, in article 52</v>
      </c>
      <c r="F69" s="33" t="s">
        <v>231</v>
      </c>
    </row>
    <row r="70" ht="12.75" customHeight="1">
      <c r="A70" s="12">
        <v>17.0</v>
      </c>
      <c r="B70" s="13" t="str">
        <f>IFERROR(__xludf.DUMMYFUNCTION("GOOGLETRANSLATE(Indonesia!B70,""IN"",""EN"")"),"REPORT ON IMPLEMENTATION OF BUSINESS ACTIVITIES (NEWLY ESTABLISHED BPR/BPRS)")</f>
        <v>REPORT ON IMPLEMENTATION OF BUSINESS ACTIVITIES (NEWLY ESTABLISHED BPR/BPRS)</v>
      </c>
      <c r="C70" s="14"/>
      <c r="D70" s="13" t="str">
        <f>IFERROR(__xludf.DUMMYFUNCTION("GOOGLETRANSLATE(Indonesia!D70,""IN"",""EN"")"),"AT THE LATEST 10 HK AFTER THE DATE OF IMPLEMENTATION OF THE BUSINESS ACTIVITY.")</f>
        <v>AT THE LATEST 10 HK AFTER THE DATE OF IMPLEMENTATION OF THE BUSINESS ACTIVITY.</v>
      </c>
      <c r="E70" s="13" t="str">
        <f>IFERROR(__xludf.DUMMYFUNCTION("GOOGLETRANSLATE(Indonesia!E70,""IN"",""EN"")"),"POJK No. 7 of 2024, POJK No. 23 of 2024")</f>
        <v>POJK No. 7 of 2024, POJK No. 23 of 2024</v>
      </c>
      <c r="F70" s="33" t="s">
        <v>271</v>
      </c>
    </row>
    <row r="71" ht="12.75" customHeight="1">
      <c r="A71" s="12">
        <v>18.0</v>
      </c>
      <c r="B71" s="13" t="str">
        <f>IFERROR(__xludf.DUMMYFUNCTION("GOOGLETRANSLATE(Indonesia!B71,""IN"",""EN"")"),"REPORT ON IMPLEMENTATION OF BUSINESS ACTIVITIES AS BPR/BPRS (RESULT OF LKM TRANSFORMATION)")</f>
        <v>REPORT ON IMPLEMENTATION OF BUSINESS ACTIVITIES AS BPR/BPRS (RESULT OF LKM TRANSFORMATION)</v>
      </c>
      <c r="C71" s="14"/>
      <c r="D71" s="13" t="str">
        <f>IFERROR(__xludf.DUMMYFUNCTION("GOOGLETRANSLATE(Indonesia!D71,""IN"",""EN"")"),"NO LATER THAN 10 HK FROM THE DATE OF IMPLEMENTATION OF THE BUSINESS ACTIVITY.")</f>
        <v>NO LATER THAN 10 HK FROM THE DATE OF IMPLEMENTATION OF THE BUSINESS ACTIVITY.</v>
      </c>
      <c r="E71" s="13" t="str">
        <f>IFERROR(__xludf.DUMMYFUNCTION("GOOGLETRANSLATE(Indonesia!E71,""IN"",""EN"")"),"POJK No. 7 of 2024, POJK No. 23 of 2024")</f>
        <v>POJK No. 7 of 2024, POJK No. 23 of 2024</v>
      </c>
      <c r="F71" s="33" t="s">
        <v>271</v>
      </c>
    </row>
    <row r="72" ht="12.75" customHeight="1">
      <c r="A72" s="12">
        <v>19.0</v>
      </c>
      <c r="B72" s="13" t="str">
        <f>IFERROR(__xludf.DUMMYFUNCTION("GOOGLETRANSLATE(Indonesia!B72,""IN"",""EN"")"),"REPORT ON THE IMPLEMENTATION OF NEW ADVANCED PRODUCTS")</f>
        <v>REPORT ON THE IMPLEMENTATION OF NEW ADVANCED PRODUCTS</v>
      </c>
      <c r="C72" s="14"/>
      <c r="D72" s="13" t="str">
        <f>IFERROR(__xludf.DUMMYFUNCTION("GOOGLETRANSLATE(Indonesia!D72,""IN"",""EN"")"),"AT THE LATEST 10 HK AFTER THE DATE OF THE PRODUCT IMPLEMENTATION")</f>
        <v>AT THE LATEST 10 HK AFTER THE DATE OF THE PRODUCT IMPLEMENTATION</v>
      </c>
      <c r="E72" s="13" t="str">
        <f>IFERROR(__xludf.DUMMYFUNCTION("GOOGLETRANSLATE(Indonesia!E72,""IN"",""EN"")"),"POJK No. 13/POJK.03/2021")</f>
        <v>POJK No. 13/POJK.03/2021</v>
      </c>
      <c r="F72" s="33" t="s">
        <v>277</v>
      </c>
    </row>
    <row r="73" ht="12.75" customHeight="1">
      <c r="A73" s="12">
        <v>20.0</v>
      </c>
      <c r="B73" s="13" t="str">
        <f>IFERROR(__xludf.DUMMYFUNCTION("GOOGLETRANSLATE(Indonesia!B73,""IN"",""EN"")"),"REPORT ON THE IMPLEMENTATION OF LAKU PANDAI")</f>
        <v>REPORT ON THE IMPLEMENTATION OF LAKU PANDAI</v>
      </c>
      <c r="C73" s="14"/>
      <c r="D73" s="13" t="str">
        <f>IFERROR(__xludf.DUMMYFUNCTION("GOOGLETRANSLATE(Indonesia!D73,""IN"",""EN"")"),"AT THE LONGEST 10 HK AFTER THE LAKU PANDAI IMPLEMENTATION.")</f>
        <v>AT THE LONGEST 10 HK AFTER THE LAKU PANDAI IMPLEMENTATION.</v>
      </c>
      <c r="E73" s="13" t="str">
        <f>IFERROR(__xludf.DUMMYFUNCTION("GOOGLETRANSLATE(Indonesia!E73,""IN"",""EN"")"),"Article 35 POJK No. 1/POJK.03/2022")</f>
        <v>Article 35 POJK No. 1/POJK.03/2022</v>
      </c>
      <c r="F73" s="33" t="s">
        <v>281</v>
      </c>
    </row>
    <row r="74" ht="12.75" customHeight="1">
      <c r="A74" s="12">
        <v>21.0</v>
      </c>
      <c r="B74" s="13" t="str">
        <f>IFERROR(__xludf.DUMMYFUNCTION("GOOGLETRANSLATE(Indonesia!B74,""IN"",""EN"")"),"REPORT ON PRODUCT TERMINATION REALIZATION ON OJK'S ORDER")</f>
        <v>REPORT ON PRODUCT TERMINATION REALIZATION ON OJK'S ORDER</v>
      </c>
      <c r="C74" s="14"/>
      <c r="D74" s="13" t="str">
        <f>IFERROR(__xludf.DUMMYFUNCTION("GOOGLETRANSLATE(Indonesia!D74,""IN"",""EN"")"),"DETERMINED BY THE FINANCIAL SERVICES AUTHORITY.")</f>
        <v>DETERMINED BY THE FINANCIAL SERVICES AUTHORITY.</v>
      </c>
      <c r="E74" s="13" t="str">
        <f>IFERROR(__xludf.DUMMYFUNCTION("GOOGLETRANSLATE(Indonesia!E74,""IN"",""EN"")"),"POJK No. 13/POJK.03/2021")</f>
        <v>POJK No. 13/POJK.03/2021</v>
      </c>
      <c r="F74" s="33" t="s">
        <v>277</v>
      </c>
    </row>
    <row r="75" ht="12.75" customHeight="1">
      <c r="A75" s="12">
        <v>22.0</v>
      </c>
      <c r="B75" s="13" t="str">
        <f>IFERROR(__xludf.DUMMYFUNCTION("GOOGLETRANSLATE(Indonesia!B75,""IN"",""EN"")"),"LIMITED TRIAL PROJECT IMPLEMENTATION PLAN REPORT")</f>
        <v>LIMITED TRIAL PROJECT IMPLEMENTATION PLAN REPORT</v>
      </c>
      <c r="C75" s="14"/>
      <c r="D75" s="13" t="str">
        <f>IFERROR(__xludf.DUMMYFUNCTION("GOOGLETRANSLATE(Indonesia!D75,""IN"",""EN"")"),"AT LEAST 10 HK BEFORE THE IMPLEMENTATION OF THE LIMITED TRIAL PROJECT TO THE FINANCIAL SERVICES AUTHORITY.")</f>
        <v>AT LEAST 10 HK BEFORE THE IMPLEMENTATION OF THE LIMITED TRIAL PROJECT TO THE FINANCIAL SERVICES AUTHORITY.</v>
      </c>
      <c r="E75" s="13" t="str">
        <f>IFERROR(__xludf.DUMMYFUNCTION("GOOGLETRANSLATE(Indonesia!E75,""IN"",""EN"")"),"POJK No. 13/POJK.03/2021")</f>
        <v>POJK No. 13/POJK.03/2021</v>
      </c>
      <c r="F75" s="33" t="s">
        <v>277</v>
      </c>
    </row>
    <row r="76" ht="12.75" customHeight="1">
      <c r="A76" s="12">
        <v>23.0</v>
      </c>
      <c r="B76" s="13" t="str">
        <f>IFERROR(__xludf.DUMMYFUNCTION("GOOGLETRANSLATE(Indonesia!B76,""IN"",""EN"")"),"REPORT ON THE REALIZATION OF NEW BASIC PRODUCTS IMPLEMENTATION")</f>
        <v>REPORT ON THE REALIZATION OF NEW BASIC PRODUCTS IMPLEMENTATION</v>
      </c>
      <c r="C76" s="14"/>
      <c r="D76" s="13" t="str">
        <f>IFERROR(__xludf.DUMMYFUNCTION("GOOGLETRANSLATE(Indonesia!D76,""IN"",""EN"")"),"AT THE LATEST 10 HK AFTER THE DATE OF IMPLEMENTATION OF THE NEW BASIC PRODUCT.")</f>
        <v>AT THE LATEST 10 HK AFTER THE DATE OF IMPLEMENTATION OF THE NEW BASIC PRODUCT.</v>
      </c>
      <c r="E76" s="13" t="str">
        <f>IFERROR(__xludf.DUMMYFUNCTION("GOOGLETRANSLATE(Indonesia!E76,""IN"",""EN"")"),"POJK No. 25/POJK.03/2021")</f>
        <v>POJK No. 25/POJK.03/2021</v>
      </c>
      <c r="F76" s="33" t="s">
        <v>289</v>
      </c>
    </row>
    <row r="77" ht="12.75" customHeight="1">
      <c r="A77" s="12">
        <v>24.0</v>
      </c>
      <c r="B77" s="13" t="str">
        <f>IFERROR(__xludf.DUMMYFUNCTION("GOOGLETRANSLATE(Indonesia!B77,""IN"",""EN"")"),"REPORT ON THE REALIZATION OF COOPERATION WITH INFORMATION TECHNOLOGY SERVICE PROVIDERS")</f>
        <v>REPORT ON THE REALIZATION OF COOPERATION WITH INFORMATION TECHNOLOGY SERVICE PROVIDERS</v>
      </c>
      <c r="C77" s="14"/>
      <c r="D77" s="13" t="str">
        <f>IFERROR(__xludf.DUMMYFUNCTION("GOOGLETRANSLATE(Indonesia!D77,""IN"",""EN"")"),"NO LATER THAN 10 HK SINCE THE PROVISION OF INFORMATION TECHNOLOGY OF BPR OR BPRS BY THE INFORMATION TECHNOLOGY SERVICE PROVIDER BECOMES EFFECTIVELY OPERATING.")</f>
        <v>NO LATER THAN 10 HK SINCE THE PROVISION OF INFORMATION TECHNOLOGY OF BPR OR BPRS BY THE INFORMATION TECHNOLOGY SERVICE PROVIDER BECOMES EFFECTIVELY OPERATING.</v>
      </c>
      <c r="E77" s="13" t="str">
        <f>IFERROR(__xludf.DUMMYFUNCTION("GOOGLETRANSLATE(Indonesia!E77,""IN"",""EN"")"),"POJK No. 75/POJK.03/2016")</f>
        <v>POJK No. 75/POJK.03/2016</v>
      </c>
      <c r="F77" s="33" t="s">
        <v>153</v>
      </c>
    </row>
    <row r="78" ht="12.75" customHeight="1">
      <c r="A78" s="12">
        <v>25.0</v>
      </c>
      <c r="B78" s="13" t="str">
        <f>IFERROR(__xludf.DUMMYFUNCTION("GOOGLETRANSLATE(Indonesia!B78,""IN"",""EN"")"),"REPORT ON CHANGES TO BUSINESS COOPERATION AGREEMENTS BETWEEN BPR/BPRS THAT ARE SYNERGYING")</f>
        <v>REPORT ON CHANGES TO BUSINESS COOPERATION AGREEMENTS BETWEEN BPR/BPRS THAT ARE SYNERGYING</v>
      </c>
      <c r="C78" s="14"/>
      <c r="D78" s="13" t="str">
        <f>IFERROR(__xludf.DUMMYFUNCTION("GOOGLETRANSLATE(Indonesia!D78,""IN"",""EN"")"),"AT THE LATEST 5 HK AFTER THE DATE OF CHANGE TO THE COOPERATION AGREEMENT")</f>
        <v>AT THE LATEST 5 HK AFTER THE DATE OF CHANGE TO THE COOPERATION AGREEMENT</v>
      </c>
      <c r="E78" s="13" t="str">
        <f>IFERROR(__xludf.DUMMYFUNCTION("GOOGLETRANSLATE(Indonesia!E78,""IN"",""EN"")"),"POJK No. 7 of 2024")</f>
        <v>POJK No. 7 of 2024</v>
      </c>
      <c r="F78" s="33" t="s">
        <v>231</v>
      </c>
    </row>
    <row r="79" ht="12.75" customHeight="1">
      <c r="A79" s="12">
        <v>26.0</v>
      </c>
      <c r="B79" s="13" t="str">
        <f>IFERROR(__xludf.DUMMYFUNCTION("GOOGLETRANSLATE(Indonesia!B79,""IN"",""EN"")"),"REPORT ON IMPLEMENTATION OF BPR/BPRS SYNERGY")</f>
        <v>REPORT ON IMPLEMENTATION OF BPR/BPRS SYNERGY</v>
      </c>
      <c r="C79" s="14"/>
      <c r="D79" s="13" t="str">
        <f>IFERROR(__xludf.DUMMYFUNCTION("GOOGLETRANSLATE(Indonesia!D79,""IN"",""EN"")"),"AT THE LATEST 5 HK AFTER THE DATE OF THE COOPERATION AGREEMENT.")</f>
        <v>AT THE LATEST 5 HK AFTER THE DATE OF THE COOPERATION AGREEMENT.</v>
      </c>
      <c r="E79" s="13" t="str">
        <f>IFERROR(__xludf.DUMMYFUNCTION("GOOGLETRANSLATE(Indonesia!E79,""IN"",""EN"")"),"POJK No. 7 of 2024")</f>
        <v>POJK No. 7 of 2024</v>
      </c>
      <c r="F79" s="33" t="s">
        <v>231</v>
      </c>
    </row>
    <row r="80" ht="12.75" customHeight="1">
      <c r="A80" s="12">
        <v>27.0</v>
      </c>
      <c r="B80" s="13" t="str">
        <f>IFERROR(__xludf.DUMMYFUNCTION("GOOGLETRANSLATE(Indonesia!B80,""IN"",""EN"")"),"REPORT ON TERMINATION OF COOPERATION BETWEEN BPR/BPRS THAT IMPLEMENT SYNERGY")</f>
        <v>REPORT ON TERMINATION OF COOPERATION BETWEEN BPR/BPRS THAT IMPLEMENT SYNERGY</v>
      </c>
      <c r="C80" s="14"/>
      <c r="D80" s="13" t="str">
        <f>IFERROR(__xludf.DUMMYFUNCTION("GOOGLETRANSLATE(Indonesia!D80,""IN"",""EN"")"),"AT THE LATEST 30 HK BEFORE THE EFFECTIVE DATE OF TERMINATION OF THE COOPERATION AGREEMENT.")</f>
        <v>AT THE LATEST 30 HK BEFORE THE EFFECTIVE DATE OF TERMINATION OF THE COOPERATION AGREEMENT.</v>
      </c>
      <c r="E80" s="13" t="str">
        <f>IFERROR(__xludf.DUMMYFUNCTION("GOOGLETRANSLATE(Indonesia!E80,""IN"",""EN"")"),"Article 139 Paragraph (4) POJK No. 7 of 2024")</f>
        <v>Article 139 Paragraph (4) POJK No. 7 of 2024</v>
      </c>
      <c r="F80" s="33" t="s">
        <v>231</v>
      </c>
    </row>
    <row r="81" ht="12.75" customHeight="1">
      <c r="A81" s="12">
        <v>28.0</v>
      </c>
      <c r="B81" s="13" t="str">
        <f>IFERROR(__xludf.DUMMYFUNCTION("GOOGLETRANSLATE(Indonesia!B81,""IN"",""EN"")"),"REPORT ON TERMINATION OF COOPERATION WITH IT SERVICE PROVIDERS")</f>
        <v>REPORT ON TERMINATION OF COOPERATION WITH IT SERVICE PROVIDERS</v>
      </c>
      <c r="C81" s="14"/>
      <c r="D81" s="13" t="str">
        <f>IFERROR(__xludf.DUMMYFUNCTION("GOOGLETRANSLATE(Indonesia!D81,""IN"",""EN"")"),"NO LATER 10 (TEN) WORKING DAYS FROM TERMINATION OF COOPERATION")</f>
        <v>NO LATER 10 (TEN) WORKING DAYS FROM TERMINATION OF COOPERATION</v>
      </c>
      <c r="E81" s="13" t="str">
        <f>IFERROR(__xludf.DUMMYFUNCTION("GOOGLETRANSLATE(Indonesia!E81,""IN"",""EN"")"),"POJK Number 11/POJK.03/2022")</f>
        <v>POJK Number 11/POJK.03/2022</v>
      </c>
      <c r="F81" s="33" t="s">
        <v>304</v>
      </c>
    </row>
    <row r="82" ht="12.75" customHeight="1">
      <c r="A82" s="12">
        <v>29.0</v>
      </c>
      <c r="B82" s="13" t="str">
        <f>IFERROR(__xludf.DUMMYFUNCTION("GOOGLETRANSLATE(Indonesia!B82,""IN"",""EN"")"),"ACTION PLAN REPORT FOR RESOLVING BMPK/BMPD VIOLATIONS")</f>
        <v>ACTION PLAN REPORT FOR RESOLVING BMPK/BMPD VIOLATIONS</v>
      </c>
      <c r="C82" s="14"/>
      <c r="D82" s="13" t="str">
        <f>IFERROR(__xludf.DUMMYFUNCTION("GOOGLETRANSLATE(Indonesia!D82,""IN"",""EN"")"),"- 20 HK AFTER THE FINAL DEADLINE FOR SUBMISSION OF THE BMPK OR BMPD REPORT OF THE MONTH IN CONNECTION; OR
- 10 HK SINCE THE FINANCIAL SERVICES AUTHORITY DETERMINES A BMPK VIOLATION")</f>
        <v>- 20 HK AFTER THE FINAL DEADLINE FOR SUBMISSION OF THE BMPK OR BMPD REPORT OF THE MONTH IN CONNECTION; OR
- 10 HK SINCE THE FINANCIAL SERVICES AUTHORITY DETERMINES A BMPK VIOLATION</v>
      </c>
      <c r="E82" s="13" t="str">
        <f>IFERROR(__xludf.DUMMYFUNCTION("GOOGLETRANSLATE(Indonesia!E82,""IN"",""EN"")"),"POJK No. 23/POJK.03/2022")</f>
        <v>POJK No. 23/POJK.03/2022</v>
      </c>
      <c r="F82" s="33" t="s">
        <v>308</v>
      </c>
    </row>
    <row r="83" ht="12.75" customHeight="1">
      <c r="A83" s="12">
        <v>30.0</v>
      </c>
      <c r="B83" s="13" t="str">
        <f>IFERROR(__xludf.DUMMYFUNCTION("GOOGLETRANSLATE(Indonesia!B83,""IN"",""EN"")"),"ACTION PLAN REPORT FOR RESOLVING BMPK/BMPD EXCEEDANCE")</f>
        <v>ACTION PLAN REPORT FOR RESOLVING BMPK/BMPD EXCEEDANCE</v>
      </c>
      <c r="C83" s="14"/>
      <c r="D83" s="13" t="str">
        <f>IFERROR(__xludf.DUMMYFUNCTION("GOOGLETRANSLATE(Indonesia!D83,""IN"",""EN"")"),"- ARTICLE 15 PARAGRAPH (3) CAUSED BY THE MATTER AS REFERRED TO IN ARTICLE 14 PARAGRAPH (1) LETTER A AND LETTER B. MUST BE SUBMITTED TO THE FINANCIAL SERVICES AUTHORITY NO LATER THAN:
A. 20 HK AFTER THE END OF THE MONTH OF THE REPORTING B MPK OR B MPD OF T"&amp;"HE MONTH IN CONNECTION;
B. 10 HK SINCE THE FINANCIAL SERVICES AUTHORITY DETERMINES THE EXCEEDING OF BMPK OR BMPD.
-ARTICLE 15 PARAGRAPH (4) CAUSED BY THE MATTER AS REFERRED TO")</f>
        <v>- ARTICLE 15 PARAGRAPH (3) CAUSED BY THE MATTER AS REFERRED TO IN ARTICLE 14 PARAGRAPH (1) LETTER A AND LETTER B. MUST BE SUBMITTED TO THE FINANCIAL SERVICES AUTHORITY NO LATER THAN:
A. 20 HK AFTER THE END OF THE MONTH OF THE REPORTING B MPK OR B MPD OF THE MONTH IN CONNECTION;
B. 10 HK SINCE THE FINANCIAL SERVICES AUTHORITY DETERMINES THE EXCEEDING OF BMPK OR BMPD.
-ARTICLE 15 PARAGRAPH (4) CAUSED BY THE MATTER AS REFERRED TO</v>
      </c>
      <c r="E83" s="13" t="str">
        <f>IFERROR(__xludf.DUMMYFUNCTION("GOOGLETRANSLATE(Indonesia!E83,""IN"",""EN"")"),"POJK No. 23/POJK.03/2022")</f>
        <v>POJK No. 23/POJK.03/2022</v>
      </c>
      <c r="F83" s="33" t="s">
        <v>308</v>
      </c>
    </row>
    <row r="84" ht="12.75" customHeight="1">
      <c r="A84" s="12">
        <v>31.0</v>
      </c>
      <c r="B84" s="13" t="str">
        <f>IFERROR(__xludf.DUMMYFUNCTION("GOOGLETRANSLATE(Indonesia!B84,""IN"",""EN"")"),"ACTION PLAN REPORT OF BPR UNDER NORMAL SUPERVISION EXPERIENCING DIFFICULTIES THAT ENDANGER THE CONTINUATION OF ITS BUSINESS")</f>
        <v>ACTION PLAN REPORT OF BPR UNDER NORMAL SUPERVISION EXPERIENCING DIFFICULTIES THAT ENDANGER THE CONTINUATION OF ITS BUSINESS</v>
      </c>
      <c r="C84" s="14"/>
      <c r="D84" s="13" t="str">
        <f>IFERROR(__xludf.DUMMYFUNCTION("GOOGLETRANSLATE(Indonesia!D84,""IN"",""EN"")"),"NO LONGER THAN 14 HK FROM THE DATE OF THE FINANCIAL SERVICES AUTHORITY REQUEST.")</f>
        <v>NO LONGER THAN 14 HK FROM THE DATE OF THE FINANCIAL SERVICES AUTHORITY REQUEST.</v>
      </c>
      <c r="E84" s="13" t="str">
        <f>IFERROR(__xludf.DUMMYFUNCTION("GOOGLETRANSLATE(Indonesia!E84,""IN"",""EN"")"),"POJK Number 28 of 2023")</f>
        <v>POJK Number 28 of 2023</v>
      </c>
      <c r="F84" s="39" t="s">
        <v>314</v>
      </c>
    </row>
    <row r="85" ht="12.75" customHeight="1">
      <c r="A85" s="12">
        <v>32.0</v>
      </c>
      <c r="B85" s="13" t="str">
        <f>IFERROR(__xludf.DUMMYFUNCTION("GOOGLETRANSLATE(Indonesia!B85,""IN"",""EN"")"),"REPORT ON BPR/BPRS ACTION PLAN IN RECOVERY")</f>
        <v>REPORT ON BPR/BPRS ACTION PLAN IN RECOVERY</v>
      </c>
      <c r="C85" s="14"/>
      <c r="D85" s="13" t="str">
        <f>IFERROR(__xludf.DUMMYFUNCTION("GOOGLETRANSLATE(Indonesia!D85,""IN"",""EN"")"),"AT MOST 10 HK SINCE BPR OR SHARIA BPR IS DEFINED")</f>
        <v>AT MOST 10 HK SINCE BPR OR SHARIA BPR IS DEFINED</v>
      </c>
      <c r="E85" s="13" t="str">
        <f>IFERROR(__xludf.DUMMYFUNCTION("GOOGLETRANSLATE(Indonesia!E85,""IN"",""EN"")"),"POJK Number 28 of 2023")</f>
        <v>POJK Number 28 of 2023</v>
      </c>
      <c r="F85" s="39" t="s">
        <v>314</v>
      </c>
    </row>
    <row r="86" ht="12.75" customHeight="1">
      <c r="A86" s="12">
        <v>33.0</v>
      </c>
      <c r="B86" s="13" t="str">
        <f>IFERROR(__xludf.DUMMYFUNCTION("GOOGLETRANSLATE(Indonesia!B86,""IN"",""EN"")"),"HEALTH LEVEL ACTION PLAN REPORT")</f>
        <v>HEALTH LEVEL ACTION PLAN REPORT</v>
      </c>
      <c r="C86" s="14"/>
      <c r="D86" s="13" t="str">
        <f>IFERROR(__xludf.DUMMYFUNCTION("GOOGLETRANSLATE(Indonesia!D86,""IN"",""EN"")"),"NO LATER THAN 14 HK AFTER THE DATE OF THE FINANCIAL SERVICES AUTHORITY'S REQUEST, FOR ACTION PLANS THAT ARE FOLLOW-UP ACTION FROM THE RESULTS OF THE ASSESSMENT OF THE HEALTH LEVEL OF BPR AND BPRS BY THE FINANCIAL SERVICES AUTHORITY")</f>
        <v>NO LATER THAN 14 HK AFTER THE DATE OF THE FINANCIAL SERVICES AUTHORITY'S REQUEST, FOR ACTION PLANS THAT ARE FOLLOW-UP ACTION FROM THE RESULTS OF THE ASSESSMENT OF THE HEALTH LEVEL OF BPR AND BPRS BY THE FINANCIAL SERVICES AUTHORITY</v>
      </c>
      <c r="E86" s="13" t="str">
        <f>IFERROR(__xludf.DUMMYFUNCTION("GOOGLETRANSLATE(Indonesia!E86,""IN"",""EN"")"),"POJK Number 28 of 2023")</f>
        <v>POJK Number 28 of 2023</v>
      </c>
      <c r="F86" s="39" t="s">
        <v>314</v>
      </c>
    </row>
    <row r="87" ht="12.75" customHeight="1">
      <c r="A87" s="12">
        <v>34.0</v>
      </c>
      <c r="B87" s="13" t="str">
        <f>IFERROR(__xludf.DUMMYFUNCTION("GOOGLETRANSLATE(Indonesia!B87,""IN"",""EN"")"),"ACTION PLAN REPORT IN THE FRAMEWORK OF IMPROVING COOPERATION WITH INFORMATION TECHNOLOGY SERVICE PROVIDERS")</f>
        <v>ACTION PLAN REPORT IN THE FRAMEWORK OF IMPROVING COOPERATION WITH INFORMATION TECHNOLOGY SERVICE PROVIDERS</v>
      </c>
      <c r="C87" s="14"/>
      <c r="D87" s="13" t="str">
        <f>IFERROR(__xludf.DUMMYFUNCTION("GOOGLETRANSLATE(Indonesia!D87,""IN"",""EN"")"),"NO LATER THAN 20 HK FROM THE DATE THE REQUEST FROM THE FINANCIAL SERVICES AUTHORITY AS REFERRED TO IN PARAGRAPH (1) IS RECEIVED.")</f>
        <v>NO LATER THAN 20 HK FROM THE DATE THE REQUEST FROM THE FINANCIAL SERVICES AUTHORITY AS REFERRED TO IN PARAGRAPH (1) IS RECEIVED.</v>
      </c>
      <c r="E87" s="13" t="str">
        <f>IFERROR(__xludf.DUMMYFUNCTION("GOOGLETRANSLATE(Indonesia!E87,""IN"",""EN"")"),"POJK Number 28 of 2023")</f>
        <v>POJK Number 28 of 2023</v>
      </c>
      <c r="F87" s="39" t="s">
        <v>314</v>
      </c>
    </row>
    <row r="88" ht="12.75" customHeight="1">
      <c r="A88" s="12">
        <v>35.0</v>
      </c>
      <c r="B88" s="13" t="str">
        <f>IFERROR(__xludf.DUMMYFUNCTION("GOOGLETRANSLATE(Indonesia!B88,""IN"",""EN"")"),"PRODUCT TERMINATION ACTION PLAN REPORT ON OJK ORDER")</f>
        <v>PRODUCT TERMINATION ACTION PLAN REPORT ON OJK ORDER</v>
      </c>
      <c r="C88" s="14"/>
      <c r="D88" s="13" t="str">
        <f>IFERROR(__xludf.DUMMYFUNCTION("GOOGLETRANSLATE(Indonesia!D88,""IN"",""EN"")"),"DETERMINED BY THE FINANCIAL SERVICES AUTHORITY.")</f>
        <v>DETERMINED BY THE FINANCIAL SERVICES AUTHORITY.</v>
      </c>
      <c r="E88" s="13" t="str">
        <f>IFERROR(__xludf.DUMMYFUNCTION("GOOGLETRANSLATE(Indonesia!E88,""IN"",""EN"")"),"POJK Number 28 of 2023")</f>
        <v>POJK Number 28 of 2023</v>
      </c>
      <c r="F88" s="39" t="s">
        <v>314</v>
      </c>
    </row>
    <row r="89" ht="12.75" customHeight="1">
      <c r="A89" s="12">
        <v>36.0</v>
      </c>
      <c r="B89" s="13" t="str">
        <f>IFERROR(__xludf.DUMMYFUNCTION("GOOGLETRANSLATE(Indonesia!B89,""IN"",""EN"")"),"ACTION PLAN REPORT ON EXCEEDING THE LIMIT OF CAPITAL PARTICIPATION")</f>
        <v>ACTION PLAN REPORT ON EXCEEDING THE LIMIT OF CAPITAL PARTICIPATION</v>
      </c>
      <c r="C89" s="14"/>
      <c r="D89" s="13" t="str">
        <f>IFERROR(__xludf.DUMMYFUNCTION("GOOGLETRANSLATE(Indonesia!D89,""IN"",""EN"")"),"NO LATER THAN THE END OF THE FOURTH MONTH SINCE THE EXCEEDANCE OF THE BPR OR SYARIAH BPR CAPITAL PARTICIPATION LIMIT.")</f>
        <v>NO LATER THAN THE END OF THE FOURTH MONTH SINCE THE EXCEEDANCE OF THE BPR OR SYARIAH BPR CAPITAL PARTICIPATION LIMIT.</v>
      </c>
      <c r="E89" s="13" t="str">
        <f>IFERROR(__xludf.DUMMYFUNCTION("GOOGLETRANSLATE(Indonesia!E89,""IN"",""EN"")"),"POJK Number 28 of 2023")</f>
        <v>POJK Number 28 of 2023</v>
      </c>
      <c r="F89" s="39" t="s">
        <v>314</v>
      </c>
    </row>
    <row r="90" ht="12.75" customHeight="1">
      <c r="A90" s="12">
        <v>37.0</v>
      </c>
      <c r="B90" s="13" t="str">
        <f>IFERROR(__xludf.DUMMYFUNCTION("GOOGLETRANSLATE(Indonesia!B90,""IN"",""EN"")"),"DIVESTMENT IMPLEMENTATION PLAN REPORT")</f>
        <v>DIVESTMENT IMPLEMENTATION PLAN REPORT</v>
      </c>
      <c r="C90" s="14"/>
      <c r="D90" s="13" t="str">
        <f>IFERROR(__xludf.DUMMYFUNCTION("GOOGLETRANSLATE(Indonesia!D90,""IN"",""EN"")"),"AT LEAST 7 HK BEFORE BPR DIVESTMENT IS CARRIED OUT.")</f>
        <v>AT LEAST 7 HK BEFORE BPR DIVESTMENT IS CARRIED OUT.</v>
      </c>
      <c r="E90" s="13" t="str">
        <f>IFERROR(__xludf.DUMMYFUNCTION("GOOGLETRANSLATE(Indonesia!E90,""IN"",""EN"")"),"POJK Number 26 of 2024")</f>
        <v>POJK Number 26 of 2024</v>
      </c>
      <c r="F90" s="33" t="s">
        <v>327</v>
      </c>
    </row>
    <row r="91" ht="12.75" customHeight="1">
      <c r="A91" s="12">
        <v>38.0</v>
      </c>
      <c r="B91" s="13" t="str">
        <f>IFERROR(__xludf.DUMMYFUNCTION("GOOGLETRANSLATE(Indonesia!B91,""IN"",""EN"")"),"ACTION PLAN REPORT ON WRITTEN ORDERS")</f>
        <v>ACTION PLAN REPORT ON WRITTEN ORDERS</v>
      </c>
      <c r="C91" s="14"/>
      <c r="D91" s="13" t="str">
        <f>IFERROR(__xludf.DUMMYFUNCTION("GOOGLETRANSLATE(Indonesia!D91,""IN"",""EN"")"),"DETERMINED BY THE FINANCIAL SERVICES AUTHORITY")</f>
        <v>DETERMINED BY THE FINANCIAL SERVICES AUTHORITY</v>
      </c>
      <c r="E91" s="13" t="str">
        <f>IFERROR(__xludf.DUMMYFUNCTION("GOOGLETRANSLATE(Indonesia!E91,""IN"",""EN"")"),"POJK Number 28 of 2023")</f>
        <v>POJK Number 28 of 2023</v>
      </c>
      <c r="F91" s="39" t="s">
        <v>314</v>
      </c>
    </row>
    <row r="92" ht="12.75" customHeight="1">
      <c r="A92" s="12">
        <v>39.0</v>
      </c>
      <c r="B92" s="13" t="str">
        <f>IFERROR(__xludf.DUMMYFUNCTION("GOOGLETRANSLATE(Indonesia!B92,""IN"",""EN"")"),"REPORT ON IMPLEMENTATION OF BMPK/BMPD ACTION PLAN")</f>
        <v>REPORT ON IMPLEMENTATION OF BMPK/BMPD ACTION PLAN</v>
      </c>
      <c r="C92" s="14"/>
      <c r="D92" s="13" t="str">
        <f>IFERROR(__xludf.DUMMYFUNCTION("GOOGLETRANSLATE(Indonesia!D92,""IN"",""EN"")"),"AT LEAST 10 HK SINCE THE REALIZATION OF THE ACTION PLAN.")</f>
        <v>AT LEAST 10 HK SINCE THE REALIZATION OF THE ACTION PLAN.</v>
      </c>
      <c r="E92" s="13" t="str">
        <f>IFERROR(__xludf.DUMMYFUNCTION("GOOGLETRANSLATE(Indonesia!E92,""IN"",""EN"")"),"POJK Number 23 of 2022")</f>
        <v>POJK Number 23 of 2022</v>
      </c>
      <c r="F92" s="33" t="s">
        <v>308</v>
      </c>
    </row>
    <row r="93" ht="12.75" customHeight="1">
      <c r="A93" s="12">
        <v>40.0</v>
      </c>
      <c r="B93" s="13" t="str">
        <f>IFERROR(__xludf.DUMMYFUNCTION("GOOGLETRANSLATE(Indonesia!B93,""IN"",""EN"")"),"REPORT ON THE IMPLEMENTATION OF THE PLAN TO TRANSFORM BUK/BUS INTO BPR/BPRS")</f>
        <v>REPORT ON THE IMPLEMENTATION OF THE PLAN TO TRANSFORM BUK/BUS INTO BPR/BPRS</v>
      </c>
      <c r="C93" s="14"/>
      <c r="D93" s="13" t="str">
        <f>IFERROR(__xludf.DUMMYFUNCTION("GOOGLETRANSLATE(Indonesia!D93,""IN"",""EN"")"),"EVERY MONTH AT THE LATEST 10 HK OF THE NEXT MONTH.")</f>
        <v>EVERY MONTH AT THE LATEST 10 HK OF THE NEXT MONTH.</v>
      </c>
      <c r="E93" s="13" t="str">
        <f>IFERROR(__xludf.DUMMYFUNCTION("GOOGLETRANSLATE(Indonesia!E93,""IN"",""EN"")"),"POJK Number 7 of 2024")</f>
        <v>POJK Number 7 of 2024</v>
      </c>
      <c r="F93" s="33" t="s">
        <v>231</v>
      </c>
    </row>
    <row r="94" ht="12.75" customHeight="1">
      <c r="A94" s="12">
        <v>41.0</v>
      </c>
      <c r="B94" s="13" t="str">
        <f>IFERROR(__xludf.DUMMYFUNCTION("GOOGLETRANSLATE(Indonesia!B94,""IN"",""EN"")"),"REPORT ON THE ENTIRE REALIZATION OF THE IMPLEMENTATION OF THE ACTION PLAN FOR BUK/BUS TO BECOME BPR/BPRS")</f>
        <v>REPORT ON THE ENTIRE REALIZATION OF THE IMPLEMENTATION OF THE ACTION PLAN FOR BUK/BUS TO BECOME BPR/BPRS</v>
      </c>
      <c r="C94" s="14"/>
      <c r="D94" s="13" t="str">
        <f>IFERROR(__xludf.DUMMYFUNCTION("GOOGLETRANSLATE(Indonesia!D94,""IN"",""EN"")"),"AT THE LATEST 1 MONTH FROM THE END OF THE PERIOD FOR ADJUSTMENT OF ALL FORMS AND BUSINESS ACTIVITIES TO BECOME BPR/BPRS")</f>
        <v>AT THE LATEST 1 MONTH FROM THE END OF THE PERIOD FOR ADJUSTMENT OF ALL FORMS AND BUSINESS ACTIVITIES TO BECOME BPR/BPRS</v>
      </c>
      <c r="E94" s="13" t="str">
        <f>IFERROR(__xludf.DUMMYFUNCTION("GOOGLETRANSLATE(Indonesia!E94,""IN"",""EN"")"),"POJK Number 7 of 2024")</f>
        <v>POJK Number 7 of 2024</v>
      </c>
      <c r="F94" s="33" t="s">
        <v>231</v>
      </c>
    </row>
    <row r="95" ht="12.75" customHeight="1">
      <c r="A95" s="12">
        <v>42.0</v>
      </c>
      <c r="B95" s="13" t="str">
        <f>IFERROR(__xludf.DUMMYFUNCTION("GOOGLETRANSLATE(Indonesia!B95,""IN"",""EN"")"),"REPORT ON THE REALIZATION OF ACTION PLANS OF BPR/BPRS UNDER NORMAL SUPERVISION THAT EXPERIENCE DIFFICULTIES THAT ENDANGER THE CONTINUATION OF THEIR BUSINESS")</f>
        <v>REPORT ON THE REALIZATION OF ACTION PLANS OF BPR/BPRS UNDER NORMAL SUPERVISION THAT EXPERIENCE DIFFICULTIES THAT ENDANGER THE CONTINUATION OF THEIR BUSINESS</v>
      </c>
      <c r="C95" s="14"/>
      <c r="D95" s="13" t="str">
        <f>IFERROR(__xludf.DUMMYFUNCTION("GOOGLETRANSLATE(Indonesia!D95,""IN"",""EN"")"),"AT THE LATEST 10 HK AFTER THE IMPLEMENTATION OF THE ACTION PLAN.")</f>
        <v>AT THE LATEST 10 HK AFTER THE IMPLEMENTATION OF THE ACTION PLAN.</v>
      </c>
      <c r="E95" s="13" t="str">
        <f>IFERROR(__xludf.DUMMYFUNCTION("GOOGLETRANSLATE(Indonesia!E95,""IN"",""EN"")"),"POJK Number 28 of 2023")</f>
        <v>POJK Number 28 of 2023</v>
      </c>
      <c r="F95" s="39" t="s">
        <v>314</v>
      </c>
    </row>
    <row r="96" ht="12.75" customHeight="1">
      <c r="A96" s="12">
        <v>43.0</v>
      </c>
      <c r="B96" s="13" t="str">
        <f>IFERROR(__xludf.DUMMYFUNCTION("GOOGLETRANSLATE(Indonesia!B96,""IN"",""EN"")"),"REPORT ON THE REALIZATION OF THE BPR/BPRS ACTION PLAN IN RECOVERY")</f>
        <v>REPORT ON THE REALIZATION OF THE BPR/BPRS ACTION PLAN IN RECOVERY</v>
      </c>
      <c r="C96" s="14"/>
      <c r="D96" s="13" t="str">
        <f>IFERROR(__xludf.DUMMYFUNCTION("GOOGLETRANSLATE(Indonesia!D96,""IN"",""EN"")"),"AT THE LATEST 10 HK OF THE NEXT MONTH.")</f>
        <v>AT THE LATEST 10 HK OF THE NEXT MONTH.</v>
      </c>
      <c r="E96" s="13" t="str">
        <f>IFERROR(__xludf.DUMMYFUNCTION("GOOGLETRANSLATE(Indonesia!E96,""IN"",""EN"")"),"POJK Number 28 of 2023")</f>
        <v>POJK Number 28 of 2023</v>
      </c>
      <c r="F96" s="39" t="s">
        <v>314</v>
      </c>
    </row>
    <row r="97" ht="12.75" customHeight="1">
      <c r="A97" s="12">
        <v>44.0</v>
      </c>
      <c r="B97" s="13" t="str">
        <f>IFERROR(__xludf.DUMMYFUNCTION("GOOGLETRANSLATE(Indonesia!B97,""IN"",""EN"")"),"REPORT ON THE REALIZATION OF THE HEALTH LEVEL ACTION PLAN")</f>
        <v>REPORT ON THE REALIZATION OF THE HEALTH LEVEL ACTION PLAN</v>
      </c>
      <c r="C97" s="14"/>
      <c r="D97" s="13" t="str">
        <f>IFERROR(__xludf.DUMMYFUNCTION("GOOGLETRANSLATE(Indonesia!D97,""IN"",""EN"")"),"AT LEAST 10 HK AFTER THE IMPLEMENTATION OF THE ACTION PLAN OR AT LEAST 10 HK AFTER THE IMPLEMENTATION OF EACH STAGE, IN THE EVENT THAT THE IMPLEMENTATION OF THE ACTION PLAN IS CARRIED OUT IN STAGES")</f>
        <v>AT LEAST 10 HK AFTER THE IMPLEMENTATION OF THE ACTION PLAN OR AT LEAST 10 HK AFTER THE IMPLEMENTATION OF EACH STAGE, IN THE EVENT THAT THE IMPLEMENTATION OF THE ACTION PLAN IS CARRIED OUT IN STAGES</v>
      </c>
      <c r="E97" s="13" t="str">
        <f>IFERROR(__xludf.DUMMYFUNCTION("GOOGLETRANSLATE(Indonesia!E97,""IN"",""EN"")"),"POJK Number 28 of 2023")</f>
        <v>POJK Number 28 of 2023</v>
      </c>
      <c r="F97" s="39" t="s">
        <v>314</v>
      </c>
    </row>
    <row r="98" ht="12.75" customHeight="1">
      <c r="A98" s="12">
        <v>45.0</v>
      </c>
      <c r="B98" s="13" t="str">
        <f>IFERROR(__xludf.DUMMYFUNCTION("GOOGLETRANSLATE(Indonesia!B98,""IN"",""EN"")"),"REPORT ON FOLLOW-UP ACTIONS THAT HAVE BEEN AND/OR WILL BE TAKEN AFTER THE SUBMISSION OF THE REPORT ON CERTAIN ACTION PLANS RELATED TO COOPERATION WITH INFORMATION TECHNOLOGY PROVIDERS")</f>
        <v>REPORT ON FOLLOW-UP ACTIONS THAT HAVE BEEN AND/OR WILL BE TAKEN AFTER THE SUBMISSION OF THE REPORT ON CERTAIN ACTION PLANS RELATED TO COOPERATION WITH INFORMATION TECHNOLOGY PROVIDERS</v>
      </c>
      <c r="C98" s="14"/>
      <c r="D98" s="13" t="str">
        <f>IFERROR(__xludf.DUMMYFUNCTION("GOOGLETRANSLATE(Indonesia!D98,""IN"",""EN"")"),"NO LATER THAN 10 HK FROM THE DATE OF THE REPORT OF CERTAIN CONDITIONS.")</f>
        <v>NO LATER THAN 10 HK FROM THE DATE OF THE REPORT OF CERTAIN CONDITIONS.</v>
      </c>
      <c r="E98" s="13" t="str">
        <f>IFERROR(__xludf.DUMMYFUNCTION("GOOGLETRANSLATE(Indonesia!E98,""IN"",""EN"")"),"SEOJK Number 1/SEOJK.03/2019, POJK Number 13/POJK.03/2018")</f>
        <v>SEOJK Number 1/SEOJK.03/2019, POJK Number 13/POJK.03/2018</v>
      </c>
      <c r="F98" s="33" t="s">
        <v>347</v>
      </c>
    </row>
    <row r="99" ht="12.75" customHeight="1">
      <c r="A99" s="12">
        <v>46.0</v>
      </c>
      <c r="B99" s="13" t="str">
        <f>IFERROR(__xludf.DUMMYFUNCTION("GOOGLETRANSLATE(Indonesia!B99,""IN"",""EN"")"),"SUPERVISION FOLLOW-UP")</f>
        <v>SUPERVISION FOLLOW-UP</v>
      </c>
      <c r="C99" s="14"/>
      <c r="D99" s="13" t="str">
        <f>IFERROR(__xludf.DUMMYFUNCTION("GOOGLETRANSLATE(Indonesia!D99,""IN"",""EN"")"),"BASED ON OJK DETERMINATION LETTER.")</f>
        <v>BASED ON OJK DETERMINATION LETTER.</v>
      </c>
      <c r="E99" s="13" t="str">
        <f>IFERROR(__xludf.DUMMYFUNCTION("GOOGLETRANSLATE(Indonesia!E99,""IN"",""EN"")"),"POJK Number 28 of 2023")</f>
        <v>POJK Number 28 of 2023</v>
      </c>
      <c r="F99" s="39" t="s">
        <v>314</v>
      </c>
    </row>
    <row r="100" ht="12.75" customHeight="1">
      <c r="A100" s="12">
        <v>47.0</v>
      </c>
      <c r="B100" s="13" t="str">
        <f>IFERROR(__xludf.DUMMYFUNCTION("GOOGLETRANSLATE(Indonesia!B100,""IN"",""EN"")"),"REPORT ON PRODUCT TERMINATION REALIZATION ON THE INITIATIVE OF BPR/BPRS")</f>
        <v>REPORT ON PRODUCT TERMINATION REALIZATION ON THE INITIATIVE OF BPR/BPRS</v>
      </c>
      <c r="C100" s="14"/>
      <c r="D100" s="13" t="str">
        <f>IFERROR(__xludf.DUMMYFUNCTION("GOOGLETRANSLATE(Indonesia!D100,""IN"",""EN"")"),"AT THE LATEST 10 HK AFTER THE TERMINATION DATE.")</f>
        <v>AT THE LATEST 10 HK AFTER THE TERMINATION DATE.</v>
      </c>
      <c r="E100" s="13" t="str">
        <f>IFERROR(__xludf.DUMMYFUNCTION("GOOGLETRANSLATE(Indonesia!E100,""IN"",""EN"")"),"POJK Number 28 of 2023")</f>
        <v>POJK Number 28 of 2023</v>
      </c>
      <c r="F100" s="39" t="s">
        <v>314</v>
      </c>
    </row>
    <row r="101" ht="12.75" customHeight="1">
      <c r="A101" s="12">
        <v>48.0</v>
      </c>
      <c r="B101" s="13" t="str">
        <f>IFERROR(__xludf.DUMMYFUNCTION("GOOGLETRANSLATE(Indonesia!B101,""IN"",""EN"")"),"REPORT ON REALIZATION OF CAPITAL PARTICIPATION")</f>
        <v>REPORT ON REALIZATION OF CAPITAL PARTICIPATION</v>
      </c>
      <c r="C101" s="14"/>
      <c r="D101" s="13" t="str">
        <f>IFERROR(__xludf.DUMMYFUNCTION("GOOGLETRANSLATE(Indonesia!D101,""IN"",""EN"")"),"NO MORE THAN 10 HK AFTER BPR OR SHARIAH BPR CAPITAL INCLUSION")</f>
        <v>NO MORE THAN 10 HK AFTER BPR OR SHARIAH BPR CAPITAL INCLUSION</v>
      </c>
      <c r="E101" s="13" t="str">
        <f>IFERROR(__xludf.DUMMYFUNCTION("GOOGLETRANSLATE(Indonesia!E101,""IN"",""EN"")"),"POJK Number 28 of 2023")</f>
        <v>POJK Number 28 of 2023</v>
      </c>
      <c r="F101" s="39" t="s">
        <v>314</v>
      </c>
    </row>
    <row r="102" ht="12.75" customHeight="1">
      <c r="A102" s="12">
        <v>49.0</v>
      </c>
      <c r="B102" s="13" t="str">
        <f>IFERROR(__xludf.DUMMYFUNCTION("GOOGLETRANSLATE(Indonesia!B102,""IN"",""EN"")"),"DIVESTMENT REALIZATION REPORT")</f>
        <v>DIVESTMENT REALIZATION REPORT</v>
      </c>
      <c r="C102" s="14"/>
      <c r="D102" s="13" t="str">
        <f>IFERROR(__xludf.DUMMYFUNCTION("GOOGLETRANSLATE(Indonesia!D102,""IN"",""EN"")"),"AT THE LATEST 10 HK AFTER THE IMPLEMENTATION OF DIVESTMENT")</f>
        <v>AT THE LATEST 10 HK AFTER THE IMPLEMENTATION OF DIVESTMENT</v>
      </c>
      <c r="E102" s="13" t="str">
        <f>IFERROR(__xludf.DUMMYFUNCTION("GOOGLETRANSLATE(Indonesia!E102,""IN"",""EN"")"),"POJK Number 28 of 2023")</f>
        <v>POJK Number 28 of 2023</v>
      </c>
      <c r="F102" s="39" t="s">
        <v>314</v>
      </c>
    </row>
    <row r="103" ht="12.75" customHeight="1">
      <c r="A103" s="12">
        <v>50.0</v>
      </c>
      <c r="B103" s="13" t="str">
        <f>IFERROR(__xludf.DUMMYFUNCTION("GOOGLETRANSLATE(Indonesia!B103,""IN"",""EN"")"),"PROGRESS REPORT ON THE IMPLEMENTATION OF THE ACTION PLAN ON WRITTEN ORDERS")</f>
        <v>PROGRESS REPORT ON THE IMPLEMENTATION OF THE ACTION PLAN ON WRITTEN ORDERS</v>
      </c>
      <c r="C103" s="14"/>
      <c r="D103" s="13" t="str">
        <f>IFERROR(__xludf.DUMMYFUNCTION("GOOGLETRANSLATE(Indonesia!D103,""IN"",""EN"")"),"DETERMINED BY THE FINANCIAL SERVICES AUTHORITY")</f>
        <v>DETERMINED BY THE FINANCIAL SERVICES AUTHORITY</v>
      </c>
      <c r="E103" s="13" t="str">
        <f>IFERROR(__xludf.DUMMYFUNCTION("GOOGLETRANSLATE(Indonesia!E103,""IN"",""EN"")"),"POJK Number 28 of 2023")</f>
        <v>POJK Number 28 of 2023</v>
      </c>
      <c r="F103" s="39" t="s">
        <v>314</v>
      </c>
    </row>
    <row r="104" ht="12.75" customHeight="1">
      <c r="A104" s="12">
        <v>51.0</v>
      </c>
      <c r="B104" s="13" t="str">
        <f>IFERROR(__xludf.DUMMYFUNCTION("GOOGLETRANSLATE(Indonesia!B104,""IN"",""EN"")"),"WRITTEN ORDER FULFILLMENT REPORT")</f>
        <v>WRITTEN ORDER FULFILLMENT REPORT</v>
      </c>
      <c r="C104" s="14"/>
      <c r="D104" s="13" t="str">
        <f>IFERROR(__xludf.DUMMYFUNCTION("GOOGLETRANSLATE(Indonesia!D104,""IN"",""EN"")"),"NO LATER THAN 2 HK AFTER THE WRITTEN ORDER GIVEN BY THE FINANCIAL SERVICES AUTHORITY HAS BEEN FULFILLED.")</f>
        <v>NO LATER THAN 2 HK AFTER THE WRITTEN ORDER GIVEN BY THE FINANCIAL SERVICES AUTHORITY HAS BEEN FULFILLED.</v>
      </c>
      <c r="E104" s="13" t="str">
        <f>IFERROR(__xludf.DUMMYFUNCTION("GOOGLETRANSLATE(Indonesia!E104,""IN"",""EN"")"),"POJK Number 28 of 2023")</f>
        <v>POJK Number 28 of 2023</v>
      </c>
      <c r="F104" s="39" t="s">
        <v>314</v>
      </c>
    </row>
    <row r="105" ht="12.75" customHeight="1">
      <c r="A105" s="12">
        <v>52.0</v>
      </c>
      <c r="B105" s="13" t="str">
        <f>IFERROR(__xludf.DUMMYFUNCTION("GOOGLETRANSLATE(Indonesia!B105,""IN"",""EN"")"),"REPORT OF VIOLATIONS OF REGULATIONS IN THE FIELD OF FINANCE AND BANKING AND/OR CONDITIONS THAT ENDANGER THE CONTINUATION OF BPR/BPRS BUSINESS")</f>
        <v>REPORT OF VIOLATIONS OF REGULATIONS IN THE FIELD OF FINANCE AND BANKING AND/OR CONDITIONS THAT ENDANGER THE CONTINUATION OF BPR/BPRS BUSINESS</v>
      </c>
      <c r="C105" s="14"/>
      <c r="D105" s="13" t="str">
        <f>IFERROR(__xludf.DUMMYFUNCTION("GOOGLETRANSLATE(Indonesia!D105,""IN"",""EN"")"),"AT THE LATEST 10 HK FROM THE DISCOVERY OF THE VIOLATION AND/OR THE CONDITIONS OR ESTIMATED CONDITIONS IN QUESTION")</f>
        <v>AT THE LATEST 10 HK FROM THE DISCOVERY OF THE VIOLATION AND/OR THE CONDITIONS OR ESTIMATED CONDITIONS IN QUESTION</v>
      </c>
      <c r="E105" s="13" t="str">
        <f>IFERROR(__xludf.DUMMYFUNCTION("GOOGLETRANSLATE(Indonesia!E105,""IN"",""EN"")"),"POJK Number 28 of 2023, POJK Number 1/POJK.03/2016")</f>
        <v>POJK Number 28 of 2023, POJK Number 1/POJK.03/2016</v>
      </c>
      <c r="F105" s="39" t="s">
        <v>362</v>
      </c>
    </row>
    <row r="106" ht="12.75" customHeight="1">
      <c r="A106" s="12">
        <v>53.0</v>
      </c>
      <c r="B106" s="13" t="str">
        <f>IFERROR(__xludf.DUMMYFUNCTION("GOOGLETRANSLATE(Indonesia!B106,""IN"",""EN"")"),"SPECIAL REPORT ON BOARD OF DIRECTORS' POLICIES AND/OR DECISIONS WHICH IN THE OPINION OF THE BOARD OF DIRECTORS' MEMBER IN CHARGE OF THE COMPLIANCE FUNCTION HAVE DEVIATED FROM OJK REGULATIONS AND/OR OTHER STATUTORY REGULATIONS")</f>
        <v>SPECIAL REPORT ON BOARD OF DIRECTORS' POLICIES AND/OR DECISIONS WHICH IN THE OPINION OF THE BOARD OF DIRECTORS' MEMBER IN CHARGE OF THE COMPLIANCE FUNCTION HAVE DEVIATED FROM OJK REGULATIONS AND/OR OTHER STATUTORY REGULATIONS</v>
      </c>
      <c r="C106" s="14"/>
      <c r="D106" s="13" t="str">
        <f>IFERROR(__xludf.DUMMYFUNCTION("GOOGLETRANSLATE(Indonesia!D106,""IN"",""EN"")"),"AT LEAST 10 HK SINCE THE DEVIATION WAS DISCOVERED.")</f>
        <v>AT LEAST 10 HK SINCE THE DEVIATION WAS DISCOVERED.</v>
      </c>
      <c r="E106" s="13" t="str">
        <f>IFERROR(__xludf.DUMMYFUNCTION("GOOGLETRANSLATE(Indonesia!E106,""IN"",""EN"")"),"POJK Number 28 of 2023")</f>
        <v>POJK Number 28 of 2023</v>
      </c>
      <c r="F106" s="39" t="s">
        <v>314</v>
      </c>
    </row>
    <row r="107" ht="12.75" customHeight="1">
      <c r="A107" s="12">
        <v>54.0</v>
      </c>
      <c r="B107" s="13" t="str">
        <f>IFERROR(__xludf.DUMMYFUNCTION("GOOGLETRANSLATE(Indonesia!B107,""IN"",""EN"")"),"SPECIAL REPORT ON EACH IN-TERN AUDIT FINDING THAT IS EXPECTED TO BE ENDANGERING THE CONTINUATION OF THE BPR/BPRS BUSINESS")</f>
        <v>SPECIAL REPORT ON EACH IN-TERN AUDIT FINDING THAT IS EXPECTED TO BE ENDANGERING THE CONTINUATION OF THE BPR/BPRS BUSINESS</v>
      </c>
      <c r="C107" s="14"/>
      <c r="D107" s="13" t="str">
        <f>IFERROR(__xludf.DUMMYFUNCTION("GOOGLETRANSLATE(Indonesia!D107,""IN"",""EN"")"),"AT LEAST 10 HK SINCE THE AUDIT FINDINGS ARE KNOWN.")</f>
        <v>AT LEAST 10 HK SINCE THE AUDIT FINDINGS ARE KNOWN.</v>
      </c>
      <c r="E107" s="13" t="str">
        <f>IFERROR(__xludf.DUMMYFUNCTION("GOOGLETRANSLATE(Indonesia!E107,""IN"",""EN"")"),"POJK Number 28 of 2023")</f>
        <v>POJK Number 28 of 2023</v>
      </c>
      <c r="F107" s="39" t="s">
        <v>314</v>
      </c>
    </row>
    <row r="108" ht="12.75" customHeight="1">
      <c r="A108" s="12">
        <v>55.0</v>
      </c>
      <c r="B108" s="13" t="str">
        <f>IFERROR(__xludf.DUMMYFUNCTION("GOOGLETRANSLATE(Indonesia!B108,""IN"",""EN"")"),"REPORT OF CRITICAL INCIDENTS, MISUSE AND/OR CRIMES IN THE PROVISION OF INFORMATION TECHNOLOGY THAT MAY OR HAVE RESULTED IN SIGNIFICANT FINANCIAL LOSSES AND/OR DISRUPTED SMOOTH OPERATIONS")</f>
        <v>REPORT OF CRITICAL INCIDENTS, MISUSE AND/OR CRIMES IN THE PROVISION OF INFORMATION TECHNOLOGY THAT MAY OR HAVE RESULTED IN SIGNIFICANT FINANCIAL LOSSES AND/OR DISRUPTED SMOOTH OPERATIONS</v>
      </c>
      <c r="C108" s="14"/>
      <c r="D108" s="13" t="str">
        <f>IFERROR(__xludf.DUMMYFUNCTION("GOOGLETRANSLATE(Indonesia!D108,""IN"",""EN"")"),"NO LATER THAN 1 DAY AFTER THE CRITICAL INCIDENT, ABUSE AND/OR CRIME IS KNOWN, FOLLOWED BY A WRITTEN REPORT NO LATER THAN 7 (SEVEN) WORKING DAYS FROM THE TIME THE CRITICAL INCIDENT, ABUSE AND/OR CRIME IS KNOWN.")</f>
        <v>NO LATER THAN 1 DAY AFTER THE CRITICAL INCIDENT, ABUSE AND/OR CRIME IS KNOWN, FOLLOWED BY A WRITTEN REPORT NO LATER THAN 7 (SEVEN) WORKING DAYS FROM THE TIME THE CRITICAL INCIDENT, ABUSE AND/OR CRIME IS KNOWN.</v>
      </c>
      <c r="E108" s="13" t="str">
        <f>IFERROR(__xludf.DUMMYFUNCTION("GOOGLETRANSLATE(Indonesia!E108,""IN"",""EN"")"),"POJK Number 38 of 2016")</f>
        <v>POJK Number 38 of 2016</v>
      </c>
      <c r="F108" s="33" t="s">
        <v>370</v>
      </c>
    </row>
    <row r="109" ht="12.75" customHeight="1">
      <c r="A109" s="12">
        <v>56.0</v>
      </c>
      <c r="B109" s="13" t="str">
        <f>IFERROR(__xludf.DUMMYFUNCTION("GOOGLETRANSLATE(Indonesia!B109,""IN"",""EN"")"),"REPORT ON CERTAIN ACTIONS IN TERMS OF FULFILLING THE CONDITIONS IN ACCORDANCE WITH POJK SPTI")</f>
        <v>REPORT ON CERTAIN ACTIONS IN TERMS OF FULFILLING THE CONDITIONS IN ACCORDANCE WITH POJK SPTI</v>
      </c>
      <c r="C109" s="14"/>
      <c r="D109" s="13" t="str">
        <f>IFERROR(__xludf.DUMMYFUNCTION("GOOGLETRANSLATE(Indonesia!D109,""IN"",""EN"")"),"NO LATER THAN 3 HK SINCE THE CONDITION IS KNOWN BY BPR;")</f>
        <v>NO LATER THAN 3 HK SINCE THE CONDITION IS KNOWN BY BPR;</v>
      </c>
      <c r="E109" s="13" t="str">
        <f>IFERROR(__xludf.DUMMYFUNCTION("GOOGLETRANSLATE(Indonesia!E109,""IN"",""EN"")"),"POJK Number 38 of 2016")</f>
        <v>POJK Number 38 of 2016</v>
      </c>
      <c r="F109" s="33" t="s">
        <v>370</v>
      </c>
    </row>
    <row r="110" ht="12.75" customHeight="1">
      <c r="A110" s="12">
        <v>57.0</v>
      </c>
      <c r="B110" s="13" t="str">
        <f>IFERROR(__xludf.DUMMYFUNCTION("GOOGLETRANSLATE(Indonesia!B110,""IN"",""EN"")"),"REPORT ON BPR/BPRS PLANNING TO CARRY OUT OPERATIONAL ACTIVITIES OUTSIDE OPERATIONAL WORKING DAYS AND/OR ON HOLIDAYS")</f>
        <v>REPORT ON BPR/BPRS PLANNING TO CARRY OUT OPERATIONAL ACTIVITIES OUTSIDE OPERATIONAL WORKING DAYS AND/OR ON HOLIDAYS</v>
      </c>
      <c r="C110" s="14"/>
      <c r="D110" s="13" t="str">
        <f>IFERROR(__xludf.DUMMYFUNCTION("GOOGLETRANSLATE(Indonesia!D110,""IN"",""EN"")"),"AT LEAST 5 HK BEFORE THE IMPLEMENTATION OF OPERATIONAL ACTIVITIES, ACCOMPANIED WITH EVIDENCE OF ANNOUNCEMENT.")</f>
        <v>AT LEAST 5 HK BEFORE THE IMPLEMENTATION OF OPERATIONAL ACTIVITIES, ACCOMPANIED WITH EVIDENCE OF ANNOUNCEMENT.</v>
      </c>
      <c r="E110" s="13" t="str">
        <f>IFERROR(__xludf.DUMMYFUNCTION("GOOGLETRANSLATE(Indonesia!E110,""IN"",""EN"")"),"POJK Number 24/POJK.03/2016")</f>
        <v>POJK Number 24/POJK.03/2016</v>
      </c>
      <c r="F110" s="33" t="s">
        <v>376</v>
      </c>
    </row>
    <row r="111" ht="12.75" customHeight="1">
      <c r="A111" s="12">
        <v>58.0</v>
      </c>
      <c r="B111" s="13" t="str">
        <f>IFERROR(__xludf.DUMMYFUNCTION("GOOGLETRANSLATE(Indonesia!B111,""IN"",""EN"")"),"TEMPORARY CLOSURE PLAN REPORT FOR BPR/BPRS OFFICES")</f>
        <v>TEMPORARY CLOSURE PLAN REPORT FOR BPR/BPRS OFFICES</v>
      </c>
      <c r="C111" s="17"/>
      <c r="D111" s="13" t="str">
        <f>IFERROR(__xludf.DUMMYFUNCTION("GOOGLETRANSLATE(Indonesia!D111,""IN"",""EN"")"),"AT THE LATEST 5 HK BEFORE THE TEMPORARY CLOSURE IS IMPLEMENTED, ACCOMPANIED BY THE REASONS AND EVIDENCE OF THE ANNOUNCEMENT.")</f>
        <v>AT THE LATEST 5 HK BEFORE THE TEMPORARY CLOSURE IS IMPLEMENTED, ACCOMPANIED BY THE REASONS AND EVIDENCE OF THE ANNOUNCEMENT.</v>
      </c>
      <c r="E111" s="13" t="str">
        <f>IFERROR(__xludf.DUMMYFUNCTION("GOOGLETRANSLATE(Indonesia!E111,""IN"",""EN"")"),"POJK Number 24/POJK.03/2016")</f>
        <v>POJK Number 24/POJK.03/2016</v>
      </c>
      <c r="F111" s="33" t="s">
        <v>376</v>
      </c>
    </row>
    <row r="112" ht="12.75" customHeight="1">
      <c r="A112" s="12">
        <v>59.0</v>
      </c>
      <c r="B112" s="13" t="str">
        <f>IFERROR(__xludf.DUMMYFUNCTION("GOOGLETRANSLATE(Indonesia!B112,""IN"",""EN"")"),"OFFICE TEMPORARY CLOSURE REPORT DUE TO FORCE MAJEURE")</f>
        <v>OFFICE TEMPORARY CLOSURE REPORT DUE TO FORCE MAJEURE</v>
      </c>
      <c r="C112" s="17"/>
      <c r="D112" s="13" t="str">
        <f>IFERROR(__xludf.DUMMYFUNCTION("GOOGLETRANSLATE(Indonesia!D112,""IN"",""EN"")"),"AT THE LATEST 10 HK AFTER TEMPORARY CLOSURE ACCOMPANIED BY REASONS AND EVIDENCE OF THE ANNOUNCEMENT.")</f>
        <v>AT THE LATEST 10 HK AFTER TEMPORARY CLOSURE ACCOMPANIED BY REASONS AND EVIDENCE OF THE ANNOUNCEMENT.</v>
      </c>
      <c r="E112" s="13" t="str">
        <f>IFERROR(__xludf.DUMMYFUNCTION("GOOGLETRANSLATE(Indonesia!E112,""IN"",""EN"")"),"POJK Number 24/POJK.03/2016")</f>
        <v>POJK Number 24/POJK.03/2016</v>
      </c>
      <c r="F112" s="33" t="s">
        <v>376</v>
      </c>
    </row>
    <row r="113" ht="12.75" customHeight="1">
      <c r="A113" s="12">
        <v>60.0</v>
      </c>
      <c r="B113" s="13" t="str">
        <f>IFERROR(__xludf.DUMMYFUNCTION("GOOGLETRANSLATE(Indonesia!B113,""IN"",""EN"")"),"OFFICE ADDRESS TEMPORARY TRANSFER IMPLEMENTATION REPORT")</f>
        <v>OFFICE ADDRESS TEMPORARY TRANSFER IMPLEMENTATION REPORT</v>
      </c>
      <c r="C113" s="17"/>
      <c r="D113" s="13" t="str">
        <f>IFERROR(__xludf.DUMMYFUNCTION("GOOGLETRANSLATE(Indonesia!D113,""IN"",""EN"")"),"AT THE LONGEST 10 HK AFTER THE CHANGE OF OFFICE ADDRESS")</f>
        <v>AT THE LONGEST 10 HK AFTER THE CHANGE OF OFFICE ADDRESS</v>
      </c>
      <c r="E113" s="13" t="str">
        <f>IFERROR(__xludf.DUMMYFUNCTION("GOOGLETRANSLATE(Indonesia!E113,""IN"",""EN"")"),"POJK Number 24/POJK.03/2016")</f>
        <v>POJK Number 24/POJK.03/2016</v>
      </c>
      <c r="F113" s="33" t="s">
        <v>376</v>
      </c>
    </row>
    <row r="114" ht="12.75" customHeight="1">
      <c r="A114" s="12">
        <v>61.0</v>
      </c>
      <c r="B114" s="13" t="str">
        <f>IFERROR(__xludf.DUMMYFUNCTION("GOOGLETRANSLATE(Indonesia!B114,""IN"",""EN"")"),"OFFICE NETWORK RETURN REPORT TO ORIGINAL LOCATION")</f>
        <v>OFFICE NETWORK RETURN REPORT TO ORIGINAL LOCATION</v>
      </c>
      <c r="C114" s="17"/>
      <c r="D114" s="13" t="str">
        <f>IFERROR(__xludf.DUMMYFUNCTION("GOOGLETRANSLATE(Indonesia!D114,""IN"",""EN"")"),"AT THE LATEST 5 HK AFTER THE DATE OF TRANSFER")</f>
        <v>AT THE LATEST 5 HK AFTER THE DATE OF TRANSFER</v>
      </c>
      <c r="E114" s="13" t="str">
        <f>IFERROR(__xludf.DUMMYFUNCTION("GOOGLETRANSLATE(Indonesia!E114,""IN"",""EN"")"),"POJK Number 24/POJK.03/2016")</f>
        <v>POJK Number 24/POJK.03/2016</v>
      </c>
      <c r="F114" s="33" t="s">
        <v>376</v>
      </c>
    </row>
    <row r="115" ht="12.75" customHeight="1">
      <c r="A115" s="12">
        <v>62.0</v>
      </c>
      <c r="B115" s="13" t="str">
        <f>IFERROR(__xludf.DUMMYFUNCTION("GOOGLETRANSLATE(Indonesia!B115,""IN"",""EN"")"),"EVIDENCE OF ANNOUNCEMENT OF PROHIBITION ON COLLECTION AND/OR DISTRIBUTION OF FUNDS")</f>
        <v>EVIDENCE OF ANNOUNCEMENT OF PROHIBITION ON COLLECTION AND/OR DISTRIBUTION OF FUNDS</v>
      </c>
      <c r="C115" s="17"/>
      <c r="D115" s="13" t="str">
        <f>IFERROR(__xludf.DUMMYFUNCTION("GOOGLETRANSLATE(Indonesia!D115,""IN"",""EN"")"),"AT THE LATEST 5 HK FROM THE DATE OF THE NOTIFICATION LETTER FROM THE FINANCIAL SERVICES AUTHORITY.")</f>
        <v>AT THE LATEST 5 HK FROM THE DATE OF THE NOTIFICATION LETTER FROM THE FINANCIAL SERVICES AUTHORITY.</v>
      </c>
      <c r="E115" s="13" t="str">
        <f>IFERROR(__xludf.DUMMYFUNCTION("GOOGLETRANSLATE(Indonesia!E115,""IN"",""EN"")"),"POJK Number 18/POJK.03/2016")</f>
        <v>POJK Number 18/POJK.03/2016</v>
      </c>
      <c r="F115" s="42" t="s">
        <v>388</v>
      </c>
    </row>
    <row r="116" ht="12.75" customHeight="1">
      <c r="A116" s="12">
        <v>63.0</v>
      </c>
      <c r="B116" s="13" t="str">
        <f>IFERROR(__xludf.DUMMYFUNCTION("GOOGLETRANSLATE(Indonesia!B116,""IN"",""EN"")"),"EVIDENCE OF ANNOUNCEMENT REGARDING CHANGES TO BUSINESS LICENSE OF BPR/BPRS FROM BUK/BUS")</f>
        <v>EVIDENCE OF ANNOUNCEMENT REGARDING CHANGES TO BUSINESS LICENSE OF BPR/BPRS FROM BUK/BUS</v>
      </c>
      <c r="C116" s="17"/>
      <c r="D116" s="13" t="str">
        <f>IFERROR(__xludf.DUMMYFUNCTION("GOOGLETRANSLATE(Indonesia!D116,""IN"",""EN"")"),"AT THE LATEST 10 HK AFTER THE ANNOUNCEMENT DATE.")</f>
        <v>AT THE LATEST 10 HK AFTER THE ANNOUNCEMENT DATE.</v>
      </c>
      <c r="E116" s="13" t="str">
        <f>IFERROR(__xludf.DUMMYFUNCTION("GOOGLETRANSLATE(Indonesia!E116,""IN"",""EN"")"),"POJK Number 24/POJK.03/2016")</f>
        <v>POJK Number 24/POJK.03/2016</v>
      </c>
      <c r="F116" s="33" t="s">
        <v>376</v>
      </c>
    </row>
    <row r="117" ht="12.75" customHeight="1">
      <c r="A117" s="12">
        <v>64.0</v>
      </c>
      <c r="B117" s="13" t="str">
        <f>IFERROR(__xludf.DUMMYFUNCTION("GOOGLETRANSLATE(Indonesia!B117,""IN"",""EN"")"),"EVIDENCE OF ANNOUNCEMENT OF NAME CHANGE TO THE PUBLIC")</f>
        <v>EVIDENCE OF ANNOUNCEMENT OF NAME CHANGE TO THE PUBLIC</v>
      </c>
      <c r="C117" s="17"/>
      <c r="D117" s="13" t="str">
        <f>IFERROR(__xludf.DUMMYFUNCTION("GOOGLETRANSLATE(Indonesia!D117,""IN"",""EN"")"),"AT THE LATEST 10 HK AFTER THE ANNOUNCEMENT DATE.")</f>
        <v>AT THE LATEST 10 HK AFTER THE ANNOUNCEMENT DATE.</v>
      </c>
      <c r="E117" s="13" t="str">
        <f>IFERROR(__xludf.DUMMYFUNCTION("GOOGLETRANSLATE(Indonesia!E117,""IN"",""EN"")"),"POJK Number 24/POJK.03/2016")</f>
        <v>POJK Number 24/POJK.03/2016</v>
      </c>
      <c r="F117" s="33" t="s">
        <v>376</v>
      </c>
    </row>
    <row r="118" ht="12.75" customHeight="1">
      <c r="A118" s="12">
        <v>65.0</v>
      </c>
      <c r="B118" s="13" t="str">
        <f>IFERROR(__xludf.DUMMYFUNCTION("GOOGLETRANSLATE(Indonesia!B118,""IN"",""EN"")"),"EVIDENCE OF ANNOUNCEMENT OF CHANGE IN FORM OF LEGAL ENTITY")</f>
        <v>EVIDENCE OF ANNOUNCEMENT OF CHANGE IN FORM OF LEGAL ENTITY</v>
      </c>
      <c r="C118" s="17"/>
      <c r="D118" s="13" t="str">
        <f>IFERROR(__xludf.DUMMYFUNCTION("GOOGLETRANSLATE(Indonesia!D118,""IN"",""EN"")"),"AT THE LATEST 10 HK AFTER THE ANNOUNCEMENT DATE.")</f>
        <v>AT THE LATEST 10 HK AFTER THE ANNOUNCEMENT DATE.</v>
      </c>
      <c r="E118" s="13" t="str">
        <f>IFERROR(__xludf.DUMMYFUNCTION("GOOGLETRANSLATE(Indonesia!E118,""IN"",""EN"")"),"POJK Number 24/POJK.03/2016")</f>
        <v>POJK Number 24/POJK.03/2016</v>
      </c>
      <c r="F118" s="33" t="s">
        <v>376</v>
      </c>
    </row>
    <row r="119" ht="12.75" customHeight="1">
      <c r="A119" s="12">
        <v>66.0</v>
      </c>
      <c r="B119" s="13" t="str">
        <f>IFERROR(__xludf.DUMMYFUNCTION("GOOGLETRANSLATE(Indonesia!B119,""IN"",""EN"")"),"EVIDENCE OF ANNOUNCEMENT OF TRANSFORMATION OF LKMK/LKMS BUSINESS ACTIVITIES INTO BPR/BPRS")</f>
        <v>EVIDENCE OF ANNOUNCEMENT OF TRANSFORMATION OF LKMK/LKMS BUSINESS ACTIVITIES INTO BPR/BPRS</v>
      </c>
      <c r="C119" s="17"/>
      <c r="D119" s="13" t="str">
        <f>IFERROR(__xludf.DUMMYFUNCTION("GOOGLETRANSLATE(Indonesia!D119,""IN"",""EN"")"),"NO LATER THAN 10 HK AFTER THE ANNOUNCEMENT.")</f>
        <v>NO LATER THAN 10 HK AFTER THE ANNOUNCEMENT.</v>
      </c>
      <c r="E119" s="13" t="str">
        <f>IFERROR(__xludf.DUMMYFUNCTION("GOOGLETRANSLATE(Indonesia!E119,""IN"",""EN"")"),"POJK Number 24/POJK.03/2016")</f>
        <v>POJK Number 24/POJK.03/2016</v>
      </c>
      <c r="F119" s="33" t="s">
        <v>376</v>
      </c>
    </row>
    <row r="120" ht="12.75" customHeight="1">
      <c r="A120" s="12">
        <v>67.0</v>
      </c>
      <c r="B120" s="13" t="str">
        <f>IFERROR(__xludf.DUMMYFUNCTION("GOOGLETRANSLATE(Indonesia!B120,""IN"",""EN"")"),"EVIDENCE OF DISSOLUTION OF THE OLD LEGAL ENTITY")</f>
        <v>EVIDENCE OF DISSOLUTION OF THE OLD LEGAL ENTITY</v>
      </c>
      <c r="C120" s="17"/>
      <c r="D120" s="13" t="str">
        <f>IFERROR(__xludf.DUMMYFUNCTION("GOOGLETRANSLATE(Indonesia!D120,""IN"",""EN"")"),"AT THE LATEST 20 HK AFTER APPROVAL FROM THE AUTHORIZED AGENCY.")</f>
        <v>AT THE LATEST 20 HK AFTER APPROVAL FROM THE AUTHORIZED AGENCY.</v>
      </c>
      <c r="E120" s="13" t="str">
        <f>IFERROR(__xludf.DUMMYFUNCTION("GOOGLETRANSLATE(Indonesia!E120,""IN"",""EN"")"),"POJK Number 24/POJK.03/2016")</f>
        <v>POJK Number 24/POJK.03/2016</v>
      </c>
      <c r="F120" s="33" t="s">
        <v>376</v>
      </c>
    </row>
    <row r="121" ht="12.75" customHeight="1">
      <c r="A121" s="12">
        <v>68.0</v>
      </c>
      <c r="B121" s="13" t="str">
        <f>IFERROR(__xludf.DUMMYFUNCTION("GOOGLETRANSLATE(Indonesia!B121,""IN"",""EN"")"),"REPORT ON THE RESULTS OF EXTERNAL PARTY REVIEW CONTAINING OPINIONS ON THE WORK RESULTS OF THE INTERNAL AUDIT AND COMPLIANCE UNIT FOR BBPR WITH A CORE CAPITAL OF AT LEAST RP50,000,000,000.00 (FIFTY BILLION RUPIAH).")</f>
        <v>REPORT ON THE RESULTS OF EXTERNAL PARTY REVIEW CONTAINING OPINIONS ON THE WORK RESULTS OF THE INTERNAL AUDIT AND COMPLIANCE UNIT FOR BBPR WITH A CORE CAPITAL OF AT LEAST RP50,000,000,000.00 (FIFTY BILLION RUPIAH).</v>
      </c>
      <c r="C121" s="17"/>
      <c r="D121" s="13" t="str">
        <f>IFERROR(__xludf.DUMMYFUNCTION("GOOGLETRANSLATE(Indonesia!D121,""IN"",""EN"")"),"NO LATER THAN 1 (ONE) MONTH AFTER THE RESULTS OF THE REVIEW BY THE EXTERN PARTY ARE RECEIVED BY THE BPR AND BPR SYARIAH.")</f>
        <v>NO LATER THAN 1 (ONE) MONTH AFTER THE RESULTS OF THE REVIEW BY THE EXTERN PARTY ARE RECEIVED BY THE BPR AND BPR SYARIAH.</v>
      </c>
      <c r="E121" s="13" t="str">
        <f>IFERROR(__xludf.DUMMYFUNCTION("GOOGLETRANSLATE(Indonesia!E121,""IN"",""EN"")"),"POJK Number 12/POJK.03/2018")</f>
        <v>POJK Number 12/POJK.03/2018</v>
      </c>
      <c r="F121" s="42" t="s">
        <v>402</v>
      </c>
    </row>
    <row r="122" ht="12.75" customHeight="1">
      <c r="A122" s="12">
        <v>69.0</v>
      </c>
      <c r="B122" s="13" t="str">
        <f>IFERROR(__xludf.DUMMYFUNCTION("GOOGLETRANSLATE(Indonesia!B122,""IN"",""EN"")"),"REPORT ON THE CURRENT CONDITION OF BPR/BPRS INFORMATION TECHNOLOGY IMPLEMENTATION")</f>
        <v>REPORT ON THE CURRENT CONDITION OF BPR/BPRS INFORMATION TECHNOLOGY IMPLEMENTATION</v>
      </c>
      <c r="C122" s="17"/>
      <c r="D122" s="13" t="str">
        <f>IFERROR(__xludf.DUMMYFUNCTION("GOOGLETRANSLATE(Indonesia!D122,""IN"",""EN"")"),"THE SLOWEST 10 HK SINCE EFFECTIVE INFORMATION TECHNOLOGY OPERATED.")</f>
        <v>THE SLOWEST 10 HK SINCE EFFECTIVE INFORMATION TECHNOLOGY OPERATED.</v>
      </c>
      <c r="E122" s="13" t="str">
        <f>IFERROR(__xludf.DUMMYFUNCTION("GOOGLETRANSLATE(Indonesia!E122,""IN"",""EN"")"),"POJK Number 38/POJK.03/2019")</f>
        <v>POJK Number 38/POJK.03/2019</v>
      </c>
      <c r="F122" s="42" t="s">
        <v>406</v>
      </c>
    </row>
    <row r="123" ht="12.75" customHeight="1">
      <c r="A123" s="12">
        <v>70.0</v>
      </c>
      <c r="B123" s="13" t="str">
        <f>IFERROR(__xludf.DUMMYFUNCTION("GOOGLETRANSLATE(Indonesia!B123,""IN"",""EN"")"),"POLICY AND PROCEDURES FOR IMPLEMENTING THE APU PPT AND PPSPM PROGRAMS AND THEIR CHANGES")</f>
        <v>POLICY AND PROCEDURES FOR IMPLEMENTING THE APU PPT AND PPSPM PROGRAMS AND THEIR CHANGES</v>
      </c>
      <c r="C123" s="17"/>
      <c r="D123" s="13" t="str">
        <f>IFERROR(__xludf.DUMMYFUNCTION("GOOGLETRANSLATE(Indonesia!D123,""IN"",""EN"")"),"AT THE LATEST 7 (SEVEN) WORKING DAYS SINCE THE CHANGE WAS MADE OR AT THE LATEST 6 (SIX) MONTHS SINCE IT WAS REQUIRED FOR BPR.")</f>
        <v>AT THE LATEST 7 (SEVEN) WORKING DAYS SINCE THE CHANGE WAS MADE OR AT THE LATEST 6 (SIX) MONTHS SINCE IT WAS REQUIRED FOR BPR.</v>
      </c>
      <c r="E123" s="13" t="str">
        <f>IFERROR(__xludf.DUMMYFUNCTION("GOOGLETRANSLATE(Indonesia!E123,""IN"",""EN"")"),"POJK NO 8 of 2023")</f>
        <v>POJK NO 8 of 2023</v>
      </c>
      <c r="F123" s="42" t="s">
        <v>203</v>
      </c>
    </row>
    <row r="124" ht="12.75" customHeight="1">
      <c r="A124" s="12">
        <v>71.0</v>
      </c>
      <c r="B124" s="13" t="str">
        <f>IFERROR(__xludf.DUMMYFUNCTION("GOOGLETRANSLATE(Indonesia!B124,""IN"",""EN"")"),"OTHER")</f>
        <v>OTHER</v>
      </c>
      <c r="C124" s="17"/>
      <c r="D124" s="13" t="str">
        <f>IFERROR(__xludf.DUMMYFUNCTION("GOOGLETRANSLATE(Indonesia!D124,""IN"",""EN"")"),"ANYTIME.")</f>
        <v>ANYTIME.</v>
      </c>
      <c r="E124" s="13"/>
      <c r="F124" s="17"/>
    </row>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10">
    <mergeCell ref="A29:E29"/>
    <mergeCell ref="A38:F38"/>
    <mergeCell ref="A53:F53"/>
    <mergeCell ref="A1:F1"/>
    <mergeCell ref="A2:F2"/>
    <mergeCell ref="A4:E4"/>
    <mergeCell ref="A7:F7"/>
    <mergeCell ref="D11:D17"/>
    <mergeCell ref="D18:D21"/>
    <mergeCell ref="A22:F22"/>
  </mergeCells>
  <hyperlinks>
    <hyperlink r:id="rId1" ref="F5"/>
    <hyperlink r:id="rId2" ref="F10"/>
    <hyperlink r:id="rId3" ref="F11"/>
    <hyperlink r:id="rId4" ref="F12"/>
    <hyperlink r:id="rId5" ref="F13"/>
    <hyperlink r:id="rId6" ref="F14"/>
    <hyperlink r:id="rId7" ref="F15"/>
    <hyperlink r:id="rId8" ref="F16"/>
    <hyperlink r:id="rId9" ref="F17"/>
    <hyperlink r:id="rId10" ref="F18"/>
    <hyperlink r:id="rId11" ref="F19"/>
    <hyperlink r:id="rId12" ref="F20"/>
    <hyperlink r:id="rId13" ref="F21"/>
    <hyperlink r:id="rId14" ref="F23"/>
    <hyperlink r:id="rId15" ref="F24"/>
    <hyperlink r:id="rId16" ref="F25"/>
    <hyperlink r:id="rId17" ref="F26"/>
    <hyperlink r:id="rId18" ref="F28"/>
    <hyperlink r:id="rId19" ref="F30"/>
    <hyperlink r:id="rId20" ref="F31"/>
    <hyperlink r:id="rId21" ref="F32"/>
    <hyperlink r:id="rId22" ref="F33"/>
    <hyperlink r:id="rId23" ref="F34"/>
    <hyperlink r:id="rId24" ref="F35"/>
    <hyperlink r:id="rId25" ref="F36"/>
    <hyperlink r:id="rId26" ref="F37"/>
    <hyperlink r:id="rId27" ref="F39"/>
    <hyperlink r:id="rId28" ref="F40"/>
    <hyperlink r:id="rId29" ref="F41"/>
    <hyperlink r:id="rId30" ref="F42"/>
    <hyperlink r:id="rId31" ref="F43"/>
    <hyperlink r:id="rId32" ref="F44"/>
    <hyperlink r:id="rId33" ref="F45"/>
    <hyperlink r:id="rId34" ref="F46"/>
    <hyperlink r:id="rId35" ref="F47"/>
    <hyperlink r:id="rId36" ref="F48"/>
    <hyperlink r:id="rId37" ref="F49"/>
    <hyperlink r:id="rId38" ref="F50"/>
    <hyperlink r:id="rId39" ref="F51"/>
    <hyperlink r:id="rId40" ref="F52"/>
    <hyperlink r:id="rId41" ref="F55"/>
    <hyperlink r:id="rId42" ref="F56"/>
    <hyperlink r:id="rId43" ref="F57"/>
    <hyperlink r:id="rId44" ref="F58"/>
    <hyperlink r:id="rId45" ref="F59"/>
    <hyperlink r:id="rId46" ref="F60"/>
    <hyperlink r:id="rId47" ref="F62"/>
    <hyperlink r:id="rId48" ref="F63"/>
    <hyperlink r:id="rId49" ref="F64"/>
    <hyperlink r:id="rId50" ref="F65"/>
    <hyperlink r:id="rId51" ref="F66"/>
    <hyperlink r:id="rId52" ref="F67"/>
    <hyperlink r:id="rId53" ref="F68"/>
    <hyperlink r:id="rId54" ref="F69"/>
    <hyperlink r:id="rId55" ref="F70"/>
    <hyperlink r:id="rId56" ref="F71"/>
    <hyperlink r:id="rId57" ref="F72"/>
    <hyperlink r:id="rId58" ref="F73"/>
    <hyperlink r:id="rId59" ref="F74"/>
    <hyperlink r:id="rId60" ref="F75"/>
    <hyperlink r:id="rId61" ref="F76"/>
    <hyperlink r:id="rId62" ref="F77"/>
    <hyperlink r:id="rId63" ref="F78"/>
    <hyperlink r:id="rId64" ref="F79"/>
    <hyperlink r:id="rId65" ref="F80"/>
    <hyperlink r:id="rId66" ref="F81"/>
    <hyperlink r:id="rId67" ref="F82"/>
    <hyperlink r:id="rId68" ref="F83"/>
    <hyperlink r:id="rId69" ref="F84"/>
    <hyperlink r:id="rId70" ref="F85"/>
    <hyperlink r:id="rId71" ref="F86"/>
    <hyperlink r:id="rId72" ref="F87"/>
    <hyperlink r:id="rId73" ref="F88"/>
    <hyperlink r:id="rId74" ref="F89"/>
    <hyperlink r:id="rId75" ref="F90"/>
    <hyperlink r:id="rId76" ref="F91"/>
    <hyperlink r:id="rId77" ref="F92"/>
    <hyperlink r:id="rId78" ref="F93"/>
    <hyperlink r:id="rId79" ref="F94"/>
    <hyperlink r:id="rId80" ref="F95"/>
    <hyperlink r:id="rId81" ref="F96"/>
    <hyperlink r:id="rId82" ref="F97"/>
    <hyperlink r:id="rId83" ref="F98"/>
    <hyperlink r:id="rId84" ref="F99"/>
    <hyperlink r:id="rId85" ref="F100"/>
    <hyperlink r:id="rId86" ref="F101"/>
    <hyperlink r:id="rId87" ref="F102"/>
    <hyperlink r:id="rId88" ref="F103"/>
    <hyperlink r:id="rId89" ref="F104"/>
    <hyperlink r:id="rId90" ref="F105"/>
    <hyperlink r:id="rId91" ref="F106"/>
    <hyperlink r:id="rId92" ref="F107"/>
    <hyperlink r:id="rId93" ref="F108"/>
    <hyperlink r:id="rId94" ref="F109"/>
    <hyperlink r:id="rId95" ref="F110"/>
    <hyperlink r:id="rId96" ref="F111"/>
    <hyperlink r:id="rId97" ref="F112"/>
    <hyperlink r:id="rId98" ref="F113"/>
    <hyperlink r:id="rId99" ref="F114"/>
    <hyperlink r:id="rId100" ref="F115"/>
    <hyperlink r:id="rId101" ref="F116"/>
    <hyperlink r:id="rId102" ref="F117"/>
    <hyperlink r:id="rId103" ref="F118"/>
    <hyperlink r:id="rId104" ref="F119"/>
    <hyperlink r:id="rId105" ref="F120"/>
    <hyperlink r:id="rId106" ref="F121"/>
    <hyperlink r:id="rId107" ref="F122"/>
    <hyperlink r:id="rId108" ref="F123"/>
  </hyperlinks>
  <printOptions/>
  <pageMargins bottom="0.75" footer="0.0" header="0.0" left="0.7" right="0.7" top="0.75"/>
  <pageSetup orientation="landscape"/>
  <drawing r:id="rId109"/>
</worksheet>
</file>