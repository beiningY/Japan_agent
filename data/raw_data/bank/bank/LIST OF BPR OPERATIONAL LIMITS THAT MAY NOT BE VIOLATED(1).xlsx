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onesia POJK 7" sheetId="1" r:id="rId4"/>
    <sheet state="visible" name="Engs POJK 7" sheetId="2" r:id="rId5"/>
    <sheet state="visible" name="Indonesia POJK 28" sheetId="3" r:id="rId6"/>
    <sheet state="visible" name="Engs POJK 28" sheetId="4" r:id="rId7"/>
    <sheet state="visible" name="Indonesia SEOJK 11" sheetId="5" r:id="rId8"/>
    <sheet state="visible" name="Engs SEOJK 11" sheetId="6" r:id="rId9"/>
    <sheet state="visible" name="Indonesia SEOJK 2" sheetId="7" r:id="rId10"/>
    <sheet state="visible" name="Engs SEOJK 2" sheetId="8" r:id="rId11"/>
  </sheets>
  <definedNames/>
  <calcPr/>
</workbook>
</file>

<file path=xl/sharedStrings.xml><?xml version="1.0" encoding="utf-8"?>
<sst xmlns="http://schemas.openxmlformats.org/spreadsheetml/2006/main" count="374" uniqueCount="285">
  <si>
    <t>DAFTAR BATASAN OPERASIONAL BPR YANG TIDAK BOLEH DILANGGAR</t>
  </si>
  <si>
    <t>SESUAI KETENTUAN : POJK NO 7 TAHUN 2024 TENTANG BANK PEREKONOMIAN RAKYAT DAN BANK PEREKONOMIAN RAKYAT SYARIAH</t>
  </si>
  <si>
    <t>No.</t>
  </si>
  <si>
    <t>Batasan Operasional</t>
  </si>
  <si>
    <t>Rujukan Pasal</t>
  </si>
  <si>
    <t>Risiko / Konsekuensi Jika Dilanggar</t>
  </si>
  <si>
    <t>Tidak boleh menjalankan jasa dalam lalu lintas giral secara langsung</t>
  </si>
  <si>
    <t>Pasal 1 ayat (2)</t>
  </si>
  <si>
    <t>Pelanggaran izin usaha</t>
  </si>
  <si>
    <t>Tidak melakukan kegiatan usaha tanpa izin OJK</t>
  </si>
  <si>
    <t>Pasal 2 ayat (2), Pasal 10 ayat (2)</t>
  </si>
  <si>
    <t>Izin dapat dibatalkan</t>
  </si>
  <si>
    <t>Tidak menyampaikan laporan kegiatan usaha setelah 60 hari dari izin usaha</t>
  </si>
  <si>
    <t>Pasal 12 ayat (1–3)</t>
  </si>
  <si>
    <t>Izin usaha dapat dicabut</t>
  </si>
  <si>
    <t>Tidak boleh menyelenggarakan kegiatan usaha sebagai BUK/BUS pasca konversi</t>
  </si>
  <si>
    <t>Pasal 16 ayat (1b), Pasal 19 ayat (1)</t>
  </si>
  <si>
    <t>Sanksi administratif</t>
  </si>
  <si>
    <t>Dilarang melakukan kegiatan: giro, valas (kecuali penukaran), pasar uang antar bank, kepemilikan surat berharga non-BI/pemerintah</t>
  </si>
  <si>
    <t>Pasal 19 ayat (1)</t>
  </si>
  <si>
    <t>Teguran dan denda</t>
  </si>
  <si>
    <t>Dilarang memiliki sumber modal dari pinjaman, dana ilegal, atau hasil kejahatan</t>
  </si>
  <si>
    <t>Pasal 31</t>
  </si>
  <si>
    <t>Dikenai sanksi berat dan wajib alihkan saham</t>
  </si>
  <si>
    <t>Dilarang menarik kembali modal disetor</t>
  </si>
  <si>
    <t>Pasal 32</t>
  </si>
  <si>
    <t>Dapat mengganggu permodalan</t>
  </si>
  <si>
    <t>Tidak boleh menyelenggarakan RUPS atau pengangkatan pengurus tanpa persetujuan OJK</t>
  </si>
  <si>
    <t>Pasal 5, Pasal 48</t>
  </si>
  <si>
    <t>Persetujuan OJK batal</t>
  </si>
  <si>
    <t>Minimal jumlah direksi: 2 orang, salah satunya direktur utama</t>
  </si>
  <si>
    <t>Pasal 44</t>
  </si>
  <si>
    <t>Teguran hingga pembatasan usaha</t>
  </si>
  <si>
    <t>Minimal komisaris: 2 orang, maksimal sama dengan direksi</t>
  </si>
  <si>
    <t>Pasal 45</t>
  </si>
  <si>
    <t>Tidak sah secara struktur tata kelola</t>
  </si>
  <si>
    <t>Tidak menyampaikan laporan perubahan, pengangkatan, pemberhentian pejabat tepat waktu</t>
  </si>
  <si>
    <t>Pasal 34, 49, 52, 54</t>
  </si>
  <si>
    <t>Denda harian hingga Rp5 juta</t>
  </si>
  <si>
    <t>Penempatan modal disetor harus berbentuk deposito atas nama OJK q.q calon PSP</t>
  </si>
  <si>
    <t>Pasal 7</t>
  </si>
  <si>
    <t>Permohonan bisa ditolak</t>
  </si>
  <si>
    <t>SANKSI ADMINISTRATIF PENTING YANG PERLU DIWASPADAI</t>
  </si>
  <si>
    <t>No</t>
  </si>
  <si>
    <t>Jenis Pelanggaran</t>
  </si>
  <si>
    <t>Dasar Hukum</t>
  </si>
  <si>
    <t>Sanksi</t>
  </si>
  <si>
    <t>Tidak menyampaikan laporan tepat waktu (pelaporan daring/luring)</t>
  </si>
  <si>
    <t>Pasal 26 (5), Pasal 43 (6)</t>
  </si>
  <si>
    <t>Denda Rp100.000/hari kerja, max Rp5 juta</t>
  </si>
  <si>
    <t>Tetap melanggar setelah teguran</t>
  </si>
  <si>
    <t>Pasal 26 (2), Pasal 43 (2)</t>
  </si>
  <si>
    <t>Penurunan tingkat kesehatan, larangan ekspansi, penundaan dividen</t>
  </si>
  <si>
    <t>Melanggar ketentuan modal / kepemilikan saham</t>
  </si>
  <si>
    <t>Pasal 43</t>
  </si>
  <si>
    <t>Teguran + denda sampai Rp100 juta</t>
  </si>
  <si>
    <t>Tidak menyampaikan rencana tindak konversi BUK/BUS</t>
  </si>
  <si>
    <t>Pasal 27</t>
  </si>
  <si>
    <t>Teguran, larangan ekspansi, bahkan larangan jadi pihak utama</t>
  </si>
  <si>
    <t>MEKANISME PEMANTAUAN KEWAJIBAN POJK 7/2024</t>
  </si>
  <si>
    <t>Kegiatan</t>
  </si>
  <si>
    <t>PIC</t>
  </si>
  <si>
    <t>Frekuensi</t>
  </si>
  <si>
    <t>Tools/Format Pemantauan</t>
  </si>
  <si>
    <t>Monitoring pelaporan daring ke OJK</t>
  </si>
  <si>
    <t>Compliance Officer</t>
  </si>
  <si>
    <t>Bulanan</t>
  </si>
  <si>
    <t>Logbook pelaporan + dashboard</t>
  </si>
  <si>
    <t>Verifikasi struktur direksi/komisaris/DPS</t>
  </si>
  <si>
    <t>Tiap perubahan / per tahun</t>
  </si>
  <si>
    <t>Checklist tata kelola</t>
  </si>
  <si>
    <t>Pemantauan status modal disetor &amp; sumbernya</t>
  </si>
  <si>
    <t>Keuangan + Legal</t>
  </si>
  <si>
    <t>Per event/berkala</t>
  </si>
  <si>
    <t>Template bukti setor dan verifikasi sumber dana</t>
  </si>
  <si>
    <t>Review jaringan kantor &amp; kegiatan usaha</t>
  </si>
  <si>
    <t>Operasional</t>
  </si>
  <si>
    <t>Semesteran</t>
  </si>
  <si>
    <t>Daftar jaringan kantor + mapping kegiatan</t>
  </si>
  <si>
    <t>Audit kepatuhan terhadap larangan usaha BUK</t>
  </si>
  <si>
    <t>Internal Audit</t>
  </si>
  <si>
    <t>Tahunan</t>
  </si>
  <si>
    <t>Laporan audit tematik</t>
  </si>
  <si>
    <t>LIST OF BPR OPERATIONAL LIMITS THAT MAY NOT BE VIOLATED</t>
  </si>
  <si>
    <t>SESUAI KETENTUAN : POJK NO 28 TAHUN 2023 TENTANG POJK Penetapan Status dan Tindak Lanjut Pengawasan Bank Perekonomian Rakyat dan BPR Syariah</t>
  </si>
  <si>
    <t>Tidak menyampaikan rencana tindak dalam 14 hari setelah diminta OJK</t>
  </si>
  <si>
    <t>Pasal 3 ayat (2)</t>
  </si>
  <si>
    <t>Teguran tertulis, kemudian pembatasan kegiatan usaha</t>
  </si>
  <si>
    <t>Tidak menyampaikan laporan realisasi rencana tindak dalam 10 hari kerja</t>
  </si>
  <si>
    <t>Pasal 4 ayat (2), Pasal 8 ayat (1)</t>
  </si>
  <si>
    <t>Teguran tertulis hingga larangan sebagai pihak utama</t>
  </si>
  <si>
    <t>Tidak menjaga kondisi keuangan saat dalam penyehatan</t>
  </si>
  <si>
    <t>Pasal 8 ayat (2)</t>
  </si>
  <si>
    <t>Status dapat berubah menjadi resolusi</t>
  </si>
  <si>
    <t>Tidak melakukan tindakan sesuai perintah tertulis OJK</t>
  </si>
  <si>
    <t>Pasal 16, Pasal 28 ayat (4)</t>
  </si>
  <si>
    <t>Sanksi pidana, larangan sebagai pihak utama</t>
  </si>
  <si>
    <t>Tidak mengumumkan larangan penghimpunan/penyaluran dana kepada publik dalam 5 hari kerja</t>
  </si>
  <si>
    <t>Pasal 21 ayat (3)</t>
  </si>
  <si>
    <t>Teguran, pembatasan usaha, larangan sebagai pihak utama</t>
  </si>
  <si>
    <t>Tidak menyampaikan bukti pengumuman larangan ke OJK</t>
  </si>
  <si>
    <t>Pasal 21 ayat (4)</t>
  </si>
  <si>
    <t>Sama seperti di atas</t>
  </si>
  <si>
    <t>Melanggar perintah pembatasan kegiatan usaha dari OJK (misalnya tidak menghentikan penyaluran dana)</t>
  </si>
  <si>
    <t>Pasal 16 huruf m</t>
  </si>
  <si>
    <t>Teguran, pembatasan usaha, pidana</t>
  </si>
  <si>
    <t>Tidak mematuhi permintaan pengawasan tidak langsung OJK (laporan, data, dll)</t>
  </si>
  <si>
    <t>Pasal 27 ayat (4)</t>
  </si>
  <si>
    <t>Teguran hingga larangan sebagai pihak utama</t>
  </si>
  <si>
    <t>Tidak melaksanakan pemblokiran rekening sesuai perintah OJK</t>
  </si>
  <si>
    <t>Pasal 28 ayat (4)</t>
  </si>
  <si>
    <t>Teguran hingga larangan pihak utama</t>
  </si>
  <si>
    <t>INDIKATOR KRITIS PENETAPAN STATUS PENYELAMATAN / RESOLUSI</t>
  </si>
  <si>
    <t>Status</t>
  </si>
  <si>
    <t>Kriteria Penetapan</t>
  </si>
  <si>
    <t>Penyehatan</t>
  </si>
  <si>
    <t>Pasal 5</t>
  </si>
  <si>
    <t>- TKS dengan Peringkat Komposit (PK) 5 selama 2 periode
- Cash Ratio &lt; 5% selama 3 bulan
- KPMM &lt; 12%</t>
  </si>
  <si>
    <t>Resolusi</t>
  </si>
  <si>
    <t>Pasal 11</t>
  </si>
  <si>
    <t>- CR ≤ 1% atau KPMM ≤ 2%
- Tidak mampu naik ke KPMM ≥12% / CR ≥5% dalam waktu penyehatan</t>
  </si>
  <si>
    <t>Normal</t>
  </si>
  <si>
    <t>Pasal 10</t>
  </si>
  <si>
    <t>- PK minimal 4
- CR ≥ 5%, KPMM ≥ 12%</t>
  </si>
  <si>
    <t>MEKANISME PEMANTAUAN KEWAJIBAN POJK 28/2023</t>
  </si>
  <si>
    <t>Aspek Pengawasan</t>
  </si>
  <si>
    <t>Tugas/Fungsi</t>
  </si>
  <si>
    <t>Tools Pemantauan</t>
  </si>
  <si>
    <t>Pemantauan TKS, CR, dan KPMM</t>
  </si>
  <si>
    <t>Divisi Risiko/Keuangan</t>
  </si>
  <si>
    <t>Dashboard keuangan</t>
  </si>
  <si>
    <t>Penyampaian Rencana Tindak</t>
  </si>
  <si>
    <t>Direksi + Compliance</t>
  </si>
  <si>
    <t>Jika diminta OJK</t>
  </si>
  <si>
    <t>Template &amp; tracker dokumen</t>
  </si>
  <si>
    <t>Laporan Realisasi Rencana Tindak</t>
  </si>
  <si>
    <t>Bulanan (untuk status penyehatan)</t>
  </si>
  <si>
    <t>Log aktivitas pelaporan</t>
  </si>
  <si>
    <t>Pengumuman Larangan Penghimpunan/ Penyaluran Dana</t>
  </si>
  <si>
    <t>Divisi Legal + Komunikasi</t>
  </si>
  <si>
    <t>Jika ada larangan OJK</t>
  </si>
  <si>
    <t>Form bukti pengumuman</t>
  </si>
  <si>
    <t>Verifikasi Aksi Tindak Lanjut Perintah OJK</t>
  </si>
  <si>
    <t>Fungsi Kepatuhan</t>
  </si>
  <si>
    <t>Saat ada surat OJK</t>
  </si>
  <si>
    <t>Daftar cek tindakan</t>
  </si>
  <si>
    <t>Pembatasan Kegiatan Usaha (jika ditetapkan)</t>
  </si>
  <si>
    <t>Harian</t>
  </si>
  <si>
    <t>Daftar pantauan kegiatan</t>
  </si>
  <si>
    <t>Pembukaan / pemblokiran rekening</t>
  </si>
  <si>
    <t>Ad-hoc</t>
  </si>
  <si>
    <t>Register rekening dan SK OJK</t>
  </si>
  <si>
    <t>Permintaan Data/Dokumen OJK</t>
  </si>
  <si>
    <t>Tracker permintaan OJK</t>
  </si>
  <si>
    <t>SESUAI KETENTUAN : SEOJK 11/SEOJK.03/2023 dengan tambahan rujukan pasal-pasal penting dari POJK 23/2022 dan SEOJK 11/2023 yang harus diperhatikan oleh BPR dan BPRS agar tidak melanggar ketentuan batas maksimum pemberian kredit (BMPK) dan penyaluran dana (BMPD)</t>
  </si>
  <si>
    <t>Ketentuan Batas</t>
  </si>
  <si>
    <t>Kredit ke Pihak Terkait</t>
  </si>
  <si>
    <t>Pasal 8 POJK 23/2022, Lamp. I angka 3 SEOJK 11/2023</t>
  </si>
  <si>
    <t>Maks. 10% dari modal BPR</t>
  </si>
  <si>
    <t>Konflik kepentingan, sanksi, penurunan skor GCG</t>
  </si>
  <si>
    <t>Kredit ke satu Pihak Tidak Terkait (individu)</t>
  </si>
  <si>
    <t>Pasal 6 ayat (1) huruf b POJK 23/2022, Lamp. I angka 5 SEOJK 11/2023</t>
  </si>
  <si>
    <t>Maks. 20% dari modal BPR</t>
  </si>
  <si>
    <t>Konsentrasi risiko kredit</t>
  </si>
  <si>
    <t>Kredit ke satu kelompok Pihak Tidak Terkait</t>
  </si>
  <si>
    <t>Pasal 6 ayat (1) huruf c POJK 23/2022, Lamp. I angka 6 SEOJK 11/2023</t>
  </si>
  <si>
    <t>Maks. 30% dari modal BPR</t>
  </si>
  <si>
    <t>Risiko sistemik jika grup bermasalah</t>
  </si>
  <si>
    <t>Penempatan Dana Antar BPR/BPRS Pihak Tidak Terkait</t>
  </si>
  <si>
    <t>Pasal 7 ayat (1) huruf b POJK 23/2022, Lamp. I angka 4 SEOJK 11/2023</t>
  </si>
  <si>
    <t>Risiko likuiditas &amp; interkoneksi</t>
  </si>
  <si>
    <t>Dana untuk penanggulangan likuiditas BPR lain</t>
  </si>
  <si>
    <t>Pasal 29 POJK 23/2022, Bab VII SEOJK 11/2023</t>
  </si>
  <si>
    <t>Maks. 30% dari modal</t>
  </si>
  <si>
    <t>Jika melebihi dianggap pelanggaran</t>
  </si>
  <si>
    <t>Perikatan yang melampaui BMPK</t>
  </si>
  <si>
    <t>Pasal 3 ayat (1) POJK 23/2022, Lamp. I angka 1 huruf c-d SEOJK 11/2023</t>
  </si>
  <si>
    <t>Dilarang buat perjanjian yang melanggar BMPK</t>
  </si>
  <si>
    <t>Dinyatakan pelanggaran BMPK walau belum dicairkan</t>
  </si>
  <si>
    <t>Penentuan kelompok peminjam</t>
  </si>
  <si>
    <t>Pasal 12 POJK 23/2022, Bab III SEOJK 11/2023</t>
  </si>
  <si>
    <t>Harus dilihat hubungan kepemilikan, kepengurusan, keuangan</t>
  </si>
  <si>
    <t>Salah klasifikasi → pelanggaran tidak terdeteksi</t>
  </si>
  <si>
    <t>Pelampauan BMPK karena perubahan modal/struktur</t>
  </si>
  <si>
    <t>Pasal 33 POJK 23/2022, Bab VI SEOJK 11/2023</t>
  </si>
  <si>
    <t>Wajib dicatat sebagai pelampauan, bukan pelanggaran</t>
  </si>
  <si>
    <t>Wajib diselesaikan sesuai ketentuan</t>
  </si>
  <si>
    <t>Fasilitas tarik &amp; pencairan bertahap</t>
  </si>
  <si>
    <t>SEOJK 11/2023 Lamp. I angka 1 huruf d, angka 6 huruf d-e</t>
  </si>
  <si>
    <t>Harus pastikan tidak menyebabkan pelanggaran saat realisasi</t>
  </si>
  <si>
    <t>Realisasi bertahap tetap diawasi dari segi BMPK</t>
  </si>
  <si>
    <t>Kewajiban pelaporan ke OJK</t>
  </si>
  <si>
    <t>Pasal 30 POJK 23/2022, Bab VIII SEOJK 11/2023</t>
  </si>
  <si>
    <t>Dilaporkan bulanan via sistem pelaporan OJK</t>
  </si>
  <si>
    <t>Keterlambatan → sanksi administratif</t>
  </si>
  <si>
    <t>MEKANISME PEMANTAUAN KEWAJIBAN SEOJK11</t>
  </si>
  <si>
    <t>Nilai Maksimal (%)</t>
  </si>
  <si>
    <t>Nilai Aktual (%)</t>
  </si>
  <si>
    <t>Tindakan</t>
  </si>
  <si>
    <t>[Isi]</t>
  </si>
  <si>
    <t>OK / Pelanggaran</t>
  </si>
  <si>
    <t>Kredit ke Pihak Tidak Terkait (individu)</t>
  </si>
  <si>
    <t>Kredit ke Kelompok Pihak Tidak Terkait</t>
  </si>
  <si>
    <t>Penempatan Dana Antar BPR/BPRS Tidak Terkait</t>
  </si>
  <si>
    <t>Penempatan Dana Likuiditas</t>
  </si>
  <si>
    <t>CONTOH TABEL PEMANTAUAN KEWAJIBAN SEOJK 11</t>
  </si>
  <si>
    <t>Nama Peminjam / BPR</t>
  </si>
  <si>
    <t>Terkait / Tidak Terkait</t>
  </si>
  <si>
    <t>Individu / Kelompok</t>
  </si>
  <si>
    <t>Nilai Fasilitas (Rp)</t>
  </si>
  <si>
    <t>Persentase terhadap Modal (%)</t>
  </si>
  <si>
    <t>Batas Maksimum (%)</t>
  </si>
  <si>
    <t>Rujukan</t>
  </si>
  <si>
    <t>PT ABC</t>
  </si>
  <si>
    <t>Tidak Terkait</t>
  </si>
  <si>
    <t>Individu</t>
  </si>
  <si>
    <t>1.800.000.000</t>
  </si>
  <si>
    <t>22,5%</t>
  </si>
  <si>
    <t>⚠️ Melanggar</t>
  </si>
  <si>
    <t>Pasal 6 POJK 23/2022</t>
  </si>
  <si>
    <t>Keluarga Tuan A</t>
  </si>
  <si>
    <t>Terkait</t>
  </si>
  <si>
    <t>Kelompok</t>
  </si>
  <si>
    <t>750.000.000</t>
  </si>
  <si>
    <t>12,5%</t>
  </si>
  <si>
    <t>Pasal 8 POJK 23/2022</t>
  </si>
  <si>
    <t>BPR XYZ</t>
  </si>
  <si>
    <t>1.600.000.000</t>
  </si>
  <si>
    <t>✅ Sesuai</t>
  </si>
  <si>
    <t>Pasal 7 POJK 23/2022</t>
  </si>
  <si>
    <t xml:space="preserve">SESUAI KETENTUAN : NO 2/SEOJK.03/2025 TENTANG KEWAJIBAN PENYEDIAAN MODAL MINIMUM DAN PEMENUHAN MODAL INTI MINIMUM BAGI BANK PEREKONOMIAN RAKYAT </t>
  </si>
  <si>
    <t>Modal Inti Minimum</t>
  </si>
  <si>
    <t>SEOJK 2/SEOJK.03/2025 Bagian V angka 1</t>
  </si>
  <si>
    <t>Paling sedikit Rp6 miliar</t>
  </si>
  <si>
    <t>Dikenakan kewajiban pemenuhan modal kembali dalam waktu 6 bulan; tidak boleh distribusi laba.</t>
  </si>
  <si>
    <t>Penurunan Modal Inti &lt; Rp6 miliar</t>
  </si>
  <si>
    <t>SEOJK 2/SEOJK.03/2025 Bagian V angka 2</t>
  </si>
  <si>
    <t>Harus ditingkatkan kembali dalam maks. 6 bulan</t>
  </si>
  <si>
    <t>Sanksi administratif, pengawasan intensif, atau pembatasan aktivitas usaha.</t>
  </si>
  <si>
    <t>Distribusi Laba jika Modal Inti Belum Rp6 Miliar</t>
  </si>
  <si>
    <t>SEOJK 2/SEOJK.03/2025 Bagian V angka 3</t>
  </si>
  <si>
    <t>Dilarang melakukan distribusi laba/dividen/bonus</t>
  </si>
  <si>
    <t>Dapat dinyatakan melanggar tata kelola, dikenakan sanksi dari OJK.</t>
  </si>
  <si>
    <t>Rasio KPMM Minimum</t>
  </si>
  <si>
    <t>SEOJK 2/SEOJK.03/2025 Bagian IV angka 4</t>
  </si>
  <si>
    <t>Wajib ≥ 12% dari ATMR</t>
  </si>
  <si>
    <t>Risiko undercapitalized, pengawasan ketat, penurunan kepercayaan publik.</t>
  </si>
  <si>
    <t>Rasio Modal Inti Minimum terhadap ATMR</t>
  </si>
  <si>
    <t>Wajib ≥ 8% dari ATMR</t>
  </si>
  <si>
    <t>Tidak layak ekspansi usaha, perlu rekapitalisasi.</t>
  </si>
  <si>
    <t>AYDA &amp; Properti Terbengkalai &gt; 1 tahun</t>
  </si>
  <si>
    <t>SEOJK 2/SEOJK.03/2025 Lampiran I poin 1.1.2.11–1.1.2.13</t>
  </si>
  <si>
    <t>Diperhitungkan sebagai faktor pengurang modal</t>
  </si>
  <si>
    <t>Risiko overstatement modal, jika tidak dikoreksi → pelanggaran laporan keuangan.</t>
  </si>
  <si>
    <t>Setoran Modal Tidak Sah/Belum Lengkap</t>
  </si>
  <si>
    <t>SEOJK 2/SEOJK.03/2025 II angka 2</t>
  </si>
  <si>
    <t>Hanya diakui sebagai modal inti jika sudah mendapat persetujuan dan lengkap dokumennya</t>
  </si>
  <si>
    <t>Jika belum sah: tidak bisa dihitung sebagai modal → potensi pelanggaran KPMM</t>
  </si>
  <si>
    <t>Bobot Risiko Tidak Sesuai ATMR</t>
  </si>
  <si>
    <t>SEOJK 2/SEOJK.03/2025 Bagian III angka 5 dan Lampiran II</t>
  </si>
  <si>
    <t>Harus menghitung ATMR sesuai bobot risiko aset</t>
  </si>
  <si>
    <t>Risiko pelaporan ATMR yang tidak sesuai, potensi kekurangan modal terselubung.</t>
  </si>
  <si>
    <t>Komponen Modal Pelengkap Melebihi 100% Modal Inti</t>
  </si>
  <si>
    <t>SEOJK 2/SEOJK.03/2025 Lampiran I bagian II.4</t>
  </si>
  <si>
    <t>Tidak boleh lebih dari 100% dari modal inti</t>
  </si>
  <si>
    <t>Penggelembungan kapital semu, pelanggaran komposisi modal.</t>
  </si>
  <si>
    <t>Batas Minimum</t>
  </si>
  <si>
    <t>Modal Inti (Rp)</t>
  </si>
  <si>
    <t>Rp ………….</t>
  </si>
  <si>
    <t>Rp6.000.000.000</t>
  </si>
  <si>
    <t>✅ / ⚠️</t>
  </si>
  <si>
    <t>Rasio KPMM (%)</t>
  </si>
  <si>
    <t>………….%</t>
  </si>
  <si>
    <t>≥ 12%</t>
  </si>
  <si>
    <t>Rasio Modal Inti / ATMR</t>
  </si>
  <si>
    <t>≥ 8%</t>
  </si>
  <si>
    <t>Total Komponen Modal Pelengkap</t>
  </si>
  <si>
    <t>≤ 100% Modal Inti</t>
  </si>
  <si>
    <t>AYDA &gt; 1 tahun</t>
  </si>
  <si>
    <t>Harus dikurangkan</t>
  </si>
  <si>
    <t>⚠️ jika belum</t>
  </si>
  <si>
    <t>Properti Terbengkalai &gt; 1 tahun</t>
  </si>
  <si>
    <t>DSM Belum Disahkan</t>
  </si>
  <si>
    <t>Tidak boleh dihitung modal</t>
  </si>
  <si>
    <t>⚠️ jika belum lengkap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</si>
</sst>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wrapText="1"/>
    </xf>
    <xf borderId="1" fillId="3" fontId="3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1" fillId="4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1" fillId="4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1" fillId="4" fontId="2" numFmtId="0" xfId="0" applyAlignment="1" applyBorder="1" applyFont="1">
      <alignment horizontal="center" readingOrder="0" shrinkToFit="0" wrapText="1"/>
    </xf>
    <xf borderId="1" fillId="5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ont="1">
      <alignment horizontal="center" readingOrder="0" shrinkToFit="0" vertical="center" wrapText="1"/>
    </xf>
    <xf borderId="1" fillId="0" fontId="3" numFmtId="9" xfId="0" applyAlignment="1" applyBorder="1" applyFont="1" applyNumberFormat="1">
      <alignment horizontal="center" readingOrder="0" shrinkToFit="0" wrapText="1"/>
    </xf>
    <xf borderId="1" fillId="2" fontId="3" numFmtId="0" xfId="0" applyAlignment="1" applyBorder="1" applyFont="1">
      <alignment horizontal="center" readingOrder="0" shrinkToFit="0" wrapText="1"/>
    </xf>
    <xf borderId="1" fillId="4" fontId="3" numFmtId="0" xfId="0" applyAlignment="1" applyBorder="1" applyFont="1">
      <alignment readingOrder="0" shrinkToFit="0" vertical="center" wrapText="1"/>
    </xf>
    <xf borderId="1" fillId="0" fontId="3" numFmtId="0" xfId="0" applyBorder="1" applyFont="1"/>
    <xf borderId="1" fillId="0" fontId="3" numFmtId="0" xfId="0" applyBorder="1" applyFont="1"/>
    <xf borderId="1" fillId="6" fontId="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75"/>
    <col customWidth="1" min="3" max="3" width="28.75"/>
    <col customWidth="1" min="4" max="4" width="35.13"/>
    <col customWidth="1" min="5" max="5" width="33.25"/>
  </cols>
  <sheetData>
    <row r="1">
      <c r="A1" s="1" t="s">
        <v>0</v>
      </c>
    </row>
    <row r="2">
      <c r="A2" s="2" t="s">
        <v>1</v>
      </c>
    </row>
    <row r="4" ht="28.5" customHeight="1">
      <c r="A4" s="3" t="s">
        <v>2</v>
      </c>
      <c r="B4" s="3" t="s">
        <v>3</v>
      </c>
      <c r="C4" s="3" t="s">
        <v>4</v>
      </c>
      <c r="D4" s="3" t="s">
        <v>5</v>
      </c>
    </row>
    <row r="5">
      <c r="A5" s="4">
        <v>1.0</v>
      </c>
      <c r="B5" s="5" t="s">
        <v>6</v>
      </c>
      <c r="C5" s="5" t="s">
        <v>7</v>
      </c>
      <c r="D5" s="5" t="s">
        <v>8</v>
      </c>
    </row>
    <row r="6">
      <c r="A6" s="4">
        <v>2.0</v>
      </c>
      <c r="B6" s="5" t="s">
        <v>9</v>
      </c>
      <c r="C6" s="5" t="s">
        <v>10</v>
      </c>
      <c r="D6" s="5" t="s">
        <v>11</v>
      </c>
    </row>
    <row r="7">
      <c r="A7" s="4">
        <v>3.0</v>
      </c>
      <c r="B7" s="5" t="s">
        <v>12</v>
      </c>
      <c r="C7" s="5" t="s">
        <v>13</v>
      </c>
      <c r="D7" s="5" t="s">
        <v>14</v>
      </c>
    </row>
    <row r="8">
      <c r="A8" s="4">
        <v>4.0</v>
      </c>
      <c r="B8" s="5" t="s">
        <v>15</v>
      </c>
      <c r="C8" s="5" t="s">
        <v>16</v>
      </c>
      <c r="D8" s="5" t="s">
        <v>17</v>
      </c>
    </row>
    <row r="9">
      <c r="A9" s="4">
        <v>5.0</v>
      </c>
      <c r="B9" s="5" t="s">
        <v>18</v>
      </c>
      <c r="C9" s="5" t="s">
        <v>19</v>
      </c>
      <c r="D9" s="5" t="s">
        <v>20</v>
      </c>
    </row>
    <row r="10">
      <c r="A10" s="4">
        <v>6.0</v>
      </c>
      <c r="B10" s="5" t="s">
        <v>21</v>
      </c>
      <c r="C10" s="5" t="s">
        <v>22</v>
      </c>
      <c r="D10" s="5" t="s">
        <v>23</v>
      </c>
    </row>
    <row r="11">
      <c r="A11" s="4">
        <v>7.0</v>
      </c>
      <c r="B11" s="5" t="s">
        <v>24</v>
      </c>
      <c r="C11" s="5" t="s">
        <v>25</v>
      </c>
      <c r="D11" s="5" t="s">
        <v>26</v>
      </c>
    </row>
    <row r="12">
      <c r="A12" s="4">
        <v>8.0</v>
      </c>
      <c r="B12" s="6" t="s">
        <v>27</v>
      </c>
      <c r="C12" s="6" t="s">
        <v>28</v>
      </c>
      <c r="D12" s="6" t="s">
        <v>29</v>
      </c>
    </row>
    <row r="13">
      <c r="A13" s="4">
        <v>9.0</v>
      </c>
      <c r="B13" s="5" t="s">
        <v>30</v>
      </c>
      <c r="C13" s="5" t="s">
        <v>31</v>
      </c>
      <c r="D13" s="5" t="s">
        <v>32</v>
      </c>
    </row>
    <row r="14">
      <c r="A14" s="4">
        <v>10.0</v>
      </c>
      <c r="B14" s="5" t="s">
        <v>33</v>
      </c>
      <c r="C14" s="5" t="s">
        <v>34</v>
      </c>
      <c r="D14" s="5" t="s">
        <v>35</v>
      </c>
    </row>
    <row r="15">
      <c r="A15" s="4">
        <v>11.0</v>
      </c>
      <c r="B15" s="6" t="s">
        <v>36</v>
      </c>
      <c r="C15" s="6" t="s">
        <v>37</v>
      </c>
      <c r="D15" s="6" t="s">
        <v>38</v>
      </c>
    </row>
    <row r="16">
      <c r="A16" s="4">
        <v>12.0</v>
      </c>
      <c r="B16" s="5" t="s">
        <v>39</v>
      </c>
      <c r="C16" s="5" t="s">
        <v>40</v>
      </c>
      <c r="D16" s="5" t="s">
        <v>41</v>
      </c>
    </row>
    <row r="19">
      <c r="A19" s="2" t="s">
        <v>42</v>
      </c>
    </row>
    <row r="21" ht="26.25" customHeight="1">
      <c r="A21" s="3" t="s">
        <v>43</v>
      </c>
      <c r="B21" s="3" t="s">
        <v>44</v>
      </c>
      <c r="C21" s="3" t="s">
        <v>45</v>
      </c>
      <c r="D21" s="3" t="s">
        <v>46</v>
      </c>
    </row>
    <row r="22">
      <c r="A22" s="7">
        <v>1.0</v>
      </c>
      <c r="B22" s="5" t="s">
        <v>47</v>
      </c>
      <c r="C22" s="8" t="s">
        <v>48</v>
      </c>
      <c r="D22" s="5" t="s">
        <v>49</v>
      </c>
    </row>
    <row r="23">
      <c r="A23" s="7">
        <v>2.0</v>
      </c>
      <c r="B23" s="5" t="s">
        <v>50</v>
      </c>
      <c r="C23" s="8" t="s">
        <v>51</v>
      </c>
      <c r="D23" s="5" t="s">
        <v>52</v>
      </c>
    </row>
    <row r="24">
      <c r="A24" s="7">
        <v>3.0</v>
      </c>
      <c r="B24" s="6" t="s">
        <v>53</v>
      </c>
      <c r="C24" s="9" t="s">
        <v>54</v>
      </c>
      <c r="D24" s="6" t="s">
        <v>55</v>
      </c>
    </row>
    <row r="25">
      <c r="A25" s="7">
        <v>4.0</v>
      </c>
      <c r="B25" s="5" t="s">
        <v>56</v>
      </c>
      <c r="C25" s="8" t="s">
        <v>57</v>
      </c>
      <c r="D25" s="5" t="s">
        <v>58</v>
      </c>
    </row>
    <row r="27">
      <c r="A27" s="2" t="s">
        <v>59</v>
      </c>
    </row>
    <row r="29" ht="22.5" customHeight="1">
      <c r="A29" s="10" t="s">
        <v>43</v>
      </c>
      <c r="B29" s="10" t="s">
        <v>60</v>
      </c>
      <c r="C29" s="10" t="s">
        <v>61</v>
      </c>
      <c r="D29" s="10" t="s">
        <v>62</v>
      </c>
      <c r="E29" s="10" t="s">
        <v>63</v>
      </c>
    </row>
    <row r="30">
      <c r="A30" s="11">
        <v>1.0</v>
      </c>
      <c r="B30" s="5" t="s">
        <v>64</v>
      </c>
      <c r="C30" s="5" t="s">
        <v>65</v>
      </c>
      <c r="D30" s="5" t="s">
        <v>66</v>
      </c>
      <c r="E30" s="5" t="s">
        <v>67</v>
      </c>
    </row>
    <row r="31">
      <c r="A31" s="11">
        <v>2.0</v>
      </c>
      <c r="B31" s="5" t="s">
        <v>68</v>
      </c>
      <c r="C31" s="5" t="s">
        <v>65</v>
      </c>
      <c r="D31" s="5" t="s">
        <v>69</v>
      </c>
      <c r="E31" s="5" t="s">
        <v>70</v>
      </c>
    </row>
    <row r="32">
      <c r="A32" s="11">
        <v>3.0</v>
      </c>
      <c r="B32" s="5" t="s">
        <v>71</v>
      </c>
      <c r="C32" s="5" t="s">
        <v>72</v>
      </c>
      <c r="D32" s="5" t="s">
        <v>73</v>
      </c>
      <c r="E32" s="5" t="s">
        <v>74</v>
      </c>
    </row>
    <row r="33">
      <c r="A33" s="11">
        <v>4.0</v>
      </c>
      <c r="B33" s="5" t="s">
        <v>75</v>
      </c>
      <c r="C33" s="5" t="s">
        <v>76</v>
      </c>
      <c r="D33" s="5" t="s">
        <v>77</v>
      </c>
      <c r="E33" s="5" t="s">
        <v>78</v>
      </c>
    </row>
    <row r="34">
      <c r="A34" s="11">
        <v>5.0</v>
      </c>
      <c r="B34" s="5" t="s">
        <v>79</v>
      </c>
      <c r="C34" s="5" t="s">
        <v>80</v>
      </c>
      <c r="D34" s="5" t="s">
        <v>81</v>
      </c>
      <c r="E34" s="5" t="s">
        <v>82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75"/>
    <col customWidth="1" min="3" max="3" width="28.75"/>
    <col customWidth="1" min="4" max="4" width="35.13"/>
    <col customWidth="1" min="5" max="5" width="33.25"/>
  </cols>
  <sheetData>
    <row r="1">
      <c r="A1" s="1" t="s">
        <v>83</v>
      </c>
    </row>
    <row r="2">
      <c r="A2" s="12" t="str">
        <f>IFERROR(__xludf.DUMMYFUNCTION("GOOGLETRANSLATE('Indonesia POJK 7'!A2,""IN"",""EN"")"),"IN ACCORDANCE WITH THE PROVISIONS: POJK NO. 7 OF 2024 CONCERNING PEOPLE'S ECONOMIC BANKS AND SHARIA PEOPLE'S ECONOMIC BANKS")</f>
        <v>IN ACCORDANCE WITH THE PROVISIONS: POJK NO. 7 OF 2024 CONCERNING PEOPLE'S ECONOMIC BANKS AND SHARIA PEOPLE'S ECONOMIC BANKS</v>
      </c>
    </row>
    <row r="4" ht="28.5" customHeight="1">
      <c r="A4" s="13" t="s">
        <v>2</v>
      </c>
      <c r="B4" s="13" t="str">
        <f>IFERROR(__xludf.DUMMYFUNCTION("GOOGLETRANSLATE('Indonesia POJK 7'!B4,""IN"",""EN"")"),"Operational Limitations")</f>
        <v>Operational Limitations</v>
      </c>
      <c r="C4" s="13" t="str">
        <f>IFERROR(__xludf.DUMMYFUNCTION("GOOGLETRANSLATE('Indonesia POJK 7'!C4,""IN"",""EN"")"),"Article Reference")</f>
        <v>Article Reference</v>
      </c>
      <c r="D4" s="13" t="str">
        <f>IFERROR(__xludf.DUMMYFUNCTION("GOOGLETRANSLATE('Indonesia POJK 7'!D4,""IN"",""EN"")"),"Risks / Consequences If Violated")</f>
        <v>Risks / Consequences If Violated</v>
      </c>
    </row>
    <row r="5">
      <c r="A5" s="4">
        <v>1.0</v>
      </c>
      <c r="B5" s="5" t="str">
        <f>IFERROR(__xludf.DUMMYFUNCTION("GOOGLETRANSLATE('Indonesia POJK 7'!B5,""IN"",""EN"")"),"It is not permissible to carry out services in direct giral traffic")</f>
        <v>It is not permissible to carry out services in direct giral traffic</v>
      </c>
      <c r="C5" s="5" t="str">
        <f>IFERROR(__xludf.DUMMYFUNCTION("GOOGLETRANSLATE('Indonesia POJK 7'!C5,""IN"",""EN"")"),"Article 1 paragraph (2)")</f>
        <v>Article 1 paragraph (2)</v>
      </c>
      <c r="D5" s="5" t="str">
        <f>IFERROR(__xludf.DUMMYFUNCTION("GOOGLETRANSLATE('Indonesia POJK 7'!D5,""IN"",""EN"")"),"Business license violation")</f>
        <v>Business license violation</v>
      </c>
    </row>
    <row r="6">
      <c r="A6" s="4">
        <v>2.0</v>
      </c>
      <c r="B6" s="5" t="str">
        <f>IFERROR(__xludf.DUMMYFUNCTION("GOOGLETRANSLATE('Indonesia POJK 7'!B6,""IN"",""EN"")"),"Do not carry out business activities without OJK permission")</f>
        <v>Do not carry out business activities without OJK permission</v>
      </c>
      <c r="C6" s="5" t="str">
        <f>IFERROR(__xludf.DUMMYFUNCTION("GOOGLETRANSLATE('Indonesia POJK 7'!C6,""IN"",""EN"")"),"Article 2 paragraph (2), Article 10 paragraph (2)")</f>
        <v>Article 2 paragraph (2), Article 10 paragraph (2)</v>
      </c>
      <c r="D6" s="5" t="str">
        <f>IFERROR(__xludf.DUMMYFUNCTION("GOOGLETRANSLATE('Indonesia POJK 7'!D6,""IN"",""EN"")"),"Permission can be revoked")</f>
        <v>Permission can be revoked</v>
      </c>
    </row>
    <row r="7">
      <c r="A7" s="4">
        <v>3.0</v>
      </c>
      <c r="B7" s="5" t="str">
        <f>IFERROR(__xludf.DUMMYFUNCTION("GOOGLETRANSLATE('Indonesia POJK 7'!B7,""IN"",""EN"")"),"Not submitting a business activity report after 60 days from the business permit")</f>
        <v>Not submitting a business activity report after 60 days from the business permit</v>
      </c>
      <c r="C7" s="5" t="str">
        <f>IFERROR(__xludf.DUMMYFUNCTION("GOOGLETRANSLATE('Indonesia POJK 7'!C7,""IN"",""EN"")"),"Article 12 paragraphs (1–3)")</f>
        <v>Article 12 paragraphs (1–3)</v>
      </c>
      <c r="D7" s="5" t="str">
        <f>IFERROR(__xludf.DUMMYFUNCTION("GOOGLETRANSLATE('Indonesia POJK 7'!D7,""IN"",""EN"")"),"Business license can be revoked")</f>
        <v>Business license can be revoked</v>
      </c>
    </row>
    <row r="8">
      <c r="A8" s="4">
        <v>4.0</v>
      </c>
      <c r="B8" s="5" t="str">
        <f>IFERROR(__xludf.DUMMYFUNCTION("GOOGLETRANSLATE('Indonesia POJK 7'!B8,""IN"",""EN"")"),"May not conduct business activities as BUK/BUS after conversion")</f>
        <v>May not conduct business activities as BUK/BUS after conversion</v>
      </c>
      <c r="C8" s="5" t="str">
        <f>IFERROR(__xludf.DUMMYFUNCTION("GOOGLETRANSLATE('Indonesia POJK 7'!C8,""IN"",""EN"")"),"Article 16 paragraph (1b), Article 19 paragraph (1)")</f>
        <v>Article 16 paragraph (1b), Article 19 paragraph (1)</v>
      </c>
      <c r="D8" s="5" t="str">
        <f>IFERROR(__xludf.DUMMYFUNCTION("GOOGLETRANSLATE('Indonesia POJK 7'!D8,""IN"",""EN"")"),"Administrative sanctions")</f>
        <v>Administrative sanctions</v>
      </c>
    </row>
    <row r="9">
      <c r="A9" s="4">
        <v>5.0</v>
      </c>
      <c r="B9" s="5" t="str">
        <f>IFERROR(__xludf.DUMMYFUNCTION("GOOGLETRANSLATE('Indonesia POJK 7'!B9,""IN"",""EN"")"),"It is prohibited to carry out the following activities: demand deposits, foreign exchange (except exchange), interbank money markets, ownership of non-BI/government securities")</f>
        <v>It is prohibited to carry out the following activities: demand deposits, foreign exchange (except exchange), interbank money markets, ownership of non-BI/government securities</v>
      </c>
      <c r="C9" s="5" t="str">
        <f>IFERROR(__xludf.DUMMYFUNCTION("GOOGLETRANSLATE('Indonesia POJK 7'!C9,""IN"",""EN"")"),"Article 19 paragraph (1)")</f>
        <v>Article 19 paragraph (1)</v>
      </c>
      <c r="D9" s="5" t="str">
        <f>IFERROR(__xludf.DUMMYFUNCTION("GOOGLETRANSLATE('Indonesia POJK 7'!D9,""IN"",""EN"")"),"Warnings and fines")</f>
        <v>Warnings and fines</v>
      </c>
    </row>
    <row r="10">
      <c r="A10" s="4">
        <v>6.0</v>
      </c>
      <c r="B10" s="5" t="str">
        <f>IFERROR(__xludf.DUMMYFUNCTION("GOOGLETRANSLATE('Indonesia POJK 7'!B10,""IN"",""EN"")"),"It is prohibited to have capital sources from loans, illegal funds, or proceeds of crime.")</f>
        <v>It is prohibited to have capital sources from loans, illegal funds, or proceeds of crime.</v>
      </c>
      <c r="C10" s="5" t="str">
        <f>IFERROR(__xludf.DUMMYFUNCTION("GOOGLETRANSLATE('Indonesia POJK 7'!C10,""IN"",""EN"")"),"Article 31")</f>
        <v>Article 31</v>
      </c>
      <c r="D10" s="5" t="str">
        <f>IFERROR(__xludf.DUMMYFUNCTION("GOOGLETRANSLATE('Indonesia POJK 7'!D10,""IN"",""EN"")"),"Subject to heavy sanctions and required to transfer shares")</f>
        <v>Subject to heavy sanctions and required to transfer shares</v>
      </c>
    </row>
    <row r="11">
      <c r="A11" s="4">
        <v>7.0</v>
      </c>
      <c r="B11" s="5" t="str">
        <f>IFERROR(__xludf.DUMMYFUNCTION("GOOGLETRANSLATE('Indonesia POJK 7'!B11,""IN"",""EN"")"),"It is prohibited to withdraw paid-in capital")</f>
        <v>It is prohibited to withdraw paid-in capital</v>
      </c>
      <c r="C11" s="5" t="str">
        <f>IFERROR(__xludf.DUMMYFUNCTION("GOOGLETRANSLATE('Indonesia POJK 7'!C11,""IN"",""EN"")"),"Article 32")</f>
        <v>Article 32</v>
      </c>
      <c r="D11" s="5" t="str">
        <f>IFERROR(__xludf.DUMMYFUNCTION("GOOGLETRANSLATE('Indonesia POJK 7'!D11,""IN"",""EN"")"),"Can disrupt capitalization")</f>
        <v>Can disrupt capitalization</v>
      </c>
    </row>
    <row r="12">
      <c r="A12" s="4">
        <v>8.0</v>
      </c>
      <c r="B12" s="5" t="str">
        <f>IFERROR(__xludf.DUMMYFUNCTION("GOOGLETRANSLATE('Indonesia POJK 7'!B12,""IN"",""EN"")"),"May not hold a GMS or appoint management without OJK approval")</f>
        <v>May not hold a GMS or appoint management without OJK approval</v>
      </c>
      <c r="C12" s="5" t="str">
        <f>IFERROR(__xludf.DUMMYFUNCTION("GOOGLETRANSLATE('Indonesia POJK 7'!C12,""IN"",""EN"")"),"Article 5, Article 48")</f>
        <v>Article 5, Article 48</v>
      </c>
      <c r="D12" s="5" t="str">
        <f>IFERROR(__xludf.DUMMYFUNCTION("GOOGLETRANSLATE('Indonesia POJK 7'!D12,""IN"",""EN"")"),"OJK approval cancelled")</f>
        <v>OJK approval cancelled</v>
      </c>
    </row>
    <row r="13">
      <c r="A13" s="4">
        <v>9.0</v>
      </c>
      <c r="B13" s="5" t="str">
        <f>IFERROR(__xludf.DUMMYFUNCTION("GOOGLETRANSLATE('Indonesia POJK 7'!B13,""IN"",""EN"")"),"Minimum number of directors: 2 people, one of whom is the main director")</f>
        <v>Minimum number of directors: 2 people, one of whom is the main director</v>
      </c>
      <c r="C13" s="5" t="str">
        <f>IFERROR(__xludf.DUMMYFUNCTION("GOOGLETRANSLATE('Indonesia POJK 7'!C13,""IN"",""EN"")"),"Article 44")</f>
        <v>Article 44</v>
      </c>
      <c r="D13" s="5" t="str">
        <f>IFERROR(__xludf.DUMMYFUNCTION("GOOGLETRANSLATE('Indonesia POJK 7'!D13,""IN"",""EN"")"),"Warnings to business restrictions")</f>
        <v>Warnings to business restrictions</v>
      </c>
    </row>
    <row r="14">
      <c r="A14" s="4">
        <v>10.0</v>
      </c>
      <c r="B14" s="5" t="str">
        <f>IFERROR(__xludf.DUMMYFUNCTION("GOOGLETRANSLATE('Indonesia POJK 7'!B14,""IN"",""EN"")"),"Minimum number of commissioners: 2 people, maximum the same as the number of directors")</f>
        <v>Minimum number of commissioners: 2 people, maximum the same as the number of directors</v>
      </c>
      <c r="C14" s="5" t="str">
        <f>IFERROR(__xludf.DUMMYFUNCTION("GOOGLETRANSLATE('Indonesia POJK 7'!C14,""IN"",""EN"")"),"Article 45")</f>
        <v>Article 45</v>
      </c>
      <c r="D14" s="5" t="str">
        <f>IFERROR(__xludf.DUMMYFUNCTION("GOOGLETRANSLATE('Indonesia POJK 7'!D14,""IN"",""EN"")"),"Invalid in terms of governance structure")</f>
        <v>Invalid in terms of governance structure</v>
      </c>
    </row>
    <row r="15">
      <c r="A15" s="4">
        <v>11.0</v>
      </c>
      <c r="B15" s="5" t="str">
        <f>IFERROR(__xludf.DUMMYFUNCTION("GOOGLETRANSLATE('Indonesia POJK 7'!B15,""IN"",""EN"")"),"Not submitting reports on changes, appointments, dismissals of officials on time")</f>
        <v>Not submitting reports on changes, appointments, dismissals of officials on time</v>
      </c>
      <c r="C15" s="5" t="str">
        <f>IFERROR(__xludf.DUMMYFUNCTION("GOOGLETRANSLATE('Indonesia POJK 7'!C15,""IN"",""EN"")"),"Articles 34, 49, 52, 54")</f>
        <v>Articles 34, 49, 52, 54</v>
      </c>
      <c r="D15" s="5" t="str">
        <f>IFERROR(__xludf.DUMMYFUNCTION("GOOGLETRANSLATE('Indonesia POJK 7'!D15,""IN"",""EN"")"),"Daily fine up to IDR 5 million")</f>
        <v>Daily fine up to IDR 5 million</v>
      </c>
    </row>
    <row r="16">
      <c r="A16" s="4">
        <v>12.0</v>
      </c>
      <c r="B16" s="5" t="str">
        <f>IFERROR(__xludf.DUMMYFUNCTION("GOOGLETRANSLATE('Indonesia POJK 7'!B16,""IN"",""EN"")"),"Placement of paid-up capital must be in the form of a deposit in the name of OJK q.q prospective PSP")</f>
        <v>Placement of paid-up capital must be in the form of a deposit in the name of OJK q.q prospective PSP</v>
      </c>
      <c r="C16" s="5" t="str">
        <f>IFERROR(__xludf.DUMMYFUNCTION("GOOGLETRANSLATE('Indonesia POJK 7'!C16,""IN"",""EN"")"),"Article 7")</f>
        <v>Article 7</v>
      </c>
      <c r="D16" s="5" t="str">
        <f>IFERROR(__xludf.DUMMYFUNCTION("GOOGLETRANSLATE('Indonesia POJK 7'!D16,""IN"",""EN"")"),"Application may be rejected")</f>
        <v>Application may be rejected</v>
      </c>
    </row>
    <row r="19">
      <c r="A19" s="14" t="str">
        <f>IFERROR(__xludf.DUMMYFUNCTION("GOOGLETRANSLATE('Indonesia POJK 7'!A19,""IN"",""EN"")"),"IMPORTANT ADMINISTRATIVE SANCTIONS TO WATCH OUT FOR")</f>
        <v>IMPORTANT ADMINISTRATIVE SANCTIONS TO WATCH OUT FOR</v>
      </c>
    </row>
    <row r="21" ht="26.25" customHeight="1">
      <c r="A21" s="13" t="s">
        <v>43</v>
      </c>
      <c r="B21" s="13" t="str">
        <f>IFERROR(__xludf.DUMMYFUNCTION("GOOGLETRANSLATE('Indonesia POJK 7'!B21,""IN"",""EN"")"),"Types of Violations")</f>
        <v>Types of Violations</v>
      </c>
      <c r="C21" s="13" t="str">
        <f>IFERROR(__xludf.DUMMYFUNCTION("GOOGLETRANSLATE('Indonesia POJK 7'!C21,""IN"",""EN"")"),"Legal basis")</f>
        <v>Legal basis</v>
      </c>
      <c r="D21" s="13" t="str">
        <f>IFERROR(__xludf.DUMMYFUNCTION("GOOGLETRANSLATE('Indonesia POJK 7'!D21,""IN"",""EN"")"),"Sanctions")</f>
        <v>Sanctions</v>
      </c>
    </row>
    <row r="22">
      <c r="A22" s="7">
        <v>1.0</v>
      </c>
      <c r="B22" s="5" t="str">
        <f>IFERROR(__xludf.DUMMYFUNCTION("GOOGLETRANSLATE('Indonesia POJK 7'!B22,""IN"",""EN"")"),"Not submitting reports on time (online/offline reporting)")</f>
        <v>Not submitting reports on time (online/offline reporting)</v>
      </c>
      <c r="C22" s="5" t="str">
        <f>IFERROR(__xludf.DUMMYFUNCTION("GOOGLETRANSLATE('Indonesia POJK 7'!C22,""IN"",""EN"")"),"Article 26 (5), Article 43 (6)")</f>
        <v>Article 26 (5), Article 43 (6)</v>
      </c>
      <c r="D22" s="5" t="str">
        <f>IFERROR(__xludf.DUMMYFUNCTION("GOOGLETRANSLATE('Indonesia POJK 7'!D22,""IN"",""EN"")"),"Fine IDR 100,000/working day, max IDR 5 million")</f>
        <v>Fine IDR 100,000/working day, max IDR 5 million</v>
      </c>
    </row>
    <row r="23">
      <c r="A23" s="7">
        <v>2.0</v>
      </c>
      <c r="B23" s="5" t="str">
        <f>IFERROR(__xludf.DUMMYFUNCTION("GOOGLETRANSLATE('Indonesia POJK 7'!B23,""IN"",""EN"")"),"Continued violation after warning")</f>
        <v>Continued violation after warning</v>
      </c>
      <c r="C23" s="5" t="str">
        <f>IFERROR(__xludf.DUMMYFUNCTION("GOOGLETRANSLATE('Indonesia POJK 7'!C23,""IN"",""EN"")"),"Article 26 (2), Article 43 (2)")</f>
        <v>Article 26 (2), Article 43 (2)</v>
      </c>
      <c r="D23" s="5" t="str">
        <f>IFERROR(__xludf.DUMMYFUNCTION("GOOGLETRANSLATE('Indonesia POJK 7'!D23,""IN"",""EN"")"),"Health decline, expansion ban, dividend delay")</f>
        <v>Health decline, expansion ban, dividend delay</v>
      </c>
    </row>
    <row r="24">
      <c r="A24" s="7">
        <v>3.0</v>
      </c>
      <c r="B24" s="5" t="str">
        <f>IFERROR(__xludf.DUMMYFUNCTION("GOOGLETRANSLATE('Indonesia POJK 7'!B24,""IN"",""EN"")"),"Violation of capital/share ownership provisions")</f>
        <v>Violation of capital/share ownership provisions</v>
      </c>
      <c r="C24" s="5" t="str">
        <f>IFERROR(__xludf.DUMMYFUNCTION("GOOGLETRANSLATE('Indonesia POJK 7'!C24,""IN"",""EN"")"),"Article 43")</f>
        <v>Article 43</v>
      </c>
      <c r="D24" s="5" t="str">
        <f>IFERROR(__xludf.DUMMYFUNCTION("GOOGLETRANSLATE('Indonesia POJK 7'!D24,""IN"",""EN"")"),"Warning + fine up to IDR 100 million")</f>
        <v>Warning + fine up to IDR 100 million</v>
      </c>
    </row>
    <row r="25">
      <c r="A25" s="7">
        <v>4.0</v>
      </c>
      <c r="B25" s="5" t="str">
        <f>IFERROR(__xludf.DUMMYFUNCTION("GOOGLETRANSLATE('Indonesia POJK 7'!B25,""IN"",""EN"")"),"Not submitting a BUK/BUS conversion action plan")</f>
        <v>Not submitting a BUK/BUS conversion action plan</v>
      </c>
      <c r="C25" s="5" t="str">
        <f>IFERROR(__xludf.DUMMYFUNCTION("GOOGLETRANSLATE('Indonesia POJK 7'!C25,""IN"",""EN"")"),"Article 27")</f>
        <v>Article 27</v>
      </c>
      <c r="D25" s="5" t="str">
        <f>IFERROR(__xludf.DUMMYFUNCTION("GOOGLETRANSLATE('Indonesia POJK 7'!D25,""IN"",""EN"")"),"Warnings, bans on expansion, even bans on being the main party")</f>
        <v>Warnings, bans on expansion, even bans on being the main party</v>
      </c>
    </row>
    <row r="27">
      <c r="A27" s="14" t="str">
        <f>IFERROR(__xludf.DUMMYFUNCTION("GOOGLETRANSLATE('Indonesia POJK 7'!A27,""IN"",""EN"")"),"MONITORING MECHANISM OF OBLIGATIONS OF POJK 7/2024")</f>
        <v>MONITORING MECHANISM OF OBLIGATIONS OF POJK 7/2024</v>
      </c>
    </row>
    <row r="29" ht="22.5" customHeight="1">
      <c r="A29" s="15" t="s">
        <v>43</v>
      </c>
      <c r="B29" s="13" t="str">
        <f>IFERROR(__xludf.DUMMYFUNCTION("GOOGLETRANSLATE('Indonesia POJK 7'!B29,""IN"",""EN"")"),"Activity")</f>
        <v>Activity</v>
      </c>
      <c r="C29" s="13" t="str">
        <f>IFERROR(__xludf.DUMMYFUNCTION("GOOGLETRANSLATE('Indonesia POJK 7'!C29,""IN"",""EN"")"),"PIC")</f>
        <v>PIC</v>
      </c>
      <c r="D29" s="13" t="str">
        <f>IFERROR(__xludf.DUMMYFUNCTION("GOOGLETRANSLATE('Indonesia POJK 7'!D29,""IN"",""EN"")"),"Frequency")</f>
        <v>Frequency</v>
      </c>
      <c r="E29" s="13" t="str">
        <f>IFERROR(__xludf.DUMMYFUNCTION("GOOGLETRANSLATE('Indonesia POJK 7'!E29,""IN"",""EN"")"),"Monitoring Tools/Formats")</f>
        <v>Monitoring Tools/Formats</v>
      </c>
    </row>
    <row r="30">
      <c r="A30" s="11">
        <v>1.0</v>
      </c>
      <c r="B30" s="5" t="str">
        <f>IFERROR(__xludf.DUMMYFUNCTION("GOOGLETRANSLATE('Indonesia POJK 7'!B30,""IN"",""EN"")"),"Monitoring online reporting to OJK")</f>
        <v>Monitoring online reporting to OJK</v>
      </c>
      <c r="C30" s="5" t="str">
        <f>IFERROR(__xludf.DUMMYFUNCTION("GOOGLETRANSLATE('Indonesia POJK 7'!C30,""IN"",""EN"")"),"Compliance Officer")</f>
        <v>Compliance Officer</v>
      </c>
      <c r="D30" s="5" t="str">
        <f>IFERROR(__xludf.DUMMYFUNCTION("GOOGLETRANSLATE('Indonesia POJK 7'!D30,""IN"",""EN"")"),"Monthly")</f>
        <v>Monthly</v>
      </c>
      <c r="E30" s="5" t="str">
        <f>IFERROR(__xludf.DUMMYFUNCTION("GOOGLETRANSLATE('Indonesia POJK 7'!E30,""IN"",""EN"")"),"Reporting logbook + dashboard")</f>
        <v>Reporting logbook + dashboard</v>
      </c>
    </row>
    <row r="31">
      <c r="A31" s="11">
        <v>2.0</v>
      </c>
      <c r="B31" s="5" t="str">
        <f>IFERROR(__xludf.DUMMYFUNCTION("GOOGLETRANSLATE('Indonesia POJK 7'!B31,""IN"",""EN"")"),"Verification of the structure of directors/commissioners/DPS")</f>
        <v>Verification of the structure of directors/commissioners/DPS</v>
      </c>
      <c r="C31" s="5" t="str">
        <f>IFERROR(__xludf.DUMMYFUNCTION("GOOGLETRANSLATE('Indonesia POJK 7'!C31,""IN"",""EN"")"),"Compliance Officer")</f>
        <v>Compliance Officer</v>
      </c>
      <c r="D31" s="5" t="str">
        <f>IFERROR(__xludf.DUMMYFUNCTION("GOOGLETRANSLATE('Indonesia POJK 7'!D31,""IN"",""EN"")"),"Every change / per year")</f>
        <v>Every change / per year</v>
      </c>
      <c r="E31" s="5" t="str">
        <f>IFERROR(__xludf.DUMMYFUNCTION("GOOGLETRANSLATE('Indonesia POJK 7'!E31,""IN"",""EN"")"),"Governance checklist")</f>
        <v>Governance checklist</v>
      </c>
    </row>
    <row r="32">
      <c r="A32" s="11">
        <v>3.0</v>
      </c>
      <c r="B32" s="5" t="str">
        <f>IFERROR(__xludf.DUMMYFUNCTION("GOOGLETRANSLATE('Indonesia POJK 7'!B32,""IN"",""EN"")"),"Monitoring the status of paid-in capital &amp; its sources")</f>
        <v>Monitoring the status of paid-in capital &amp; its sources</v>
      </c>
      <c r="C32" s="5" t="str">
        <f>IFERROR(__xludf.DUMMYFUNCTION("GOOGLETRANSLATE('Indonesia POJK 7'!C32,""IN"",""EN"")"),"Finance + Legal")</f>
        <v>Finance + Legal</v>
      </c>
      <c r="D32" s="5" t="str">
        <f>IFERROR(__xludf.DUMMYFUNCTION("GOOGLETRANSLATE('Indonesia POJK 7'!D32,""IN"",""EN"")"),"Per event/periodic")</f>
        <v>Per event/periodic</v>
      </c>
      <c r="E32" s="5" t="str">
        <f>IFERROR(__xludf.DUMMYFUNCTION("GOOGLETRANSLATE('Indonesia POJK 7'!E32,""IN"",""EN"")"),"Proof of deposit and source of funds verification template")</f>
        <v>Proof of deposit and source of funds verification template</v>
      </c>
    </row>
    <row r="33">
      <c r="A33" s="11">
        <v>4.0</v>
      </c>
      <c r="B33" s="5" t="str">
        <f>IFERROR(__xludf.DUMMYFUNCTION("GOOGLETRANSLATE('Indonesia POJK 7'!B33,""IN"",""EN"")"),"Review of office network &amp; business activities")</f>
        <v>Review of office network &amp; business activities</v>
      </c>
      <c r="C33" s="5" t="str">
        <f>IFERROR(__xludf.DUMMYFUNCTION("GOOGLETRANSLATE('Indonesia POJK 7'!C33,""IN"",""EN"")"),"Operational")</f>
        <v>Operational</v>
      </c>
      <c r="D33" s="5" t="str">
        <f>IFERROR(__xludf.DUMMYFUNCTION("GOOGLETRANSLATE('Indonesia POJK 7'!D33,""IN"",""EN"")"),"Semesterly")</f>
        <v>Semesterly</v>
      </c>
      <c r="E33" s="5" t="str">
        <f>IFERROR(__xludf.DUMMYFUNCTION("GOOGLETRANSLATE('Indonesia POJK 7'!E33,""IN"",""EN"")"),"Office network list + activity mapping")</f>
        <v>Office network list + activity mapping</v>
      </c>
    </row>
    <row r="34">
      <c r="A34" s="11">
        <v>5.0</v>
      </c>
      <c r="B34" s="5" t="str">
        <f>IFERROR(__xludf.DUMMYFUNCTION("GOOGLETRANSLATE('Indonesia POJK 7'!B34,""IN"",""EN"")"),"Audit of compliance with BUK business prohibitions")</f>
        <v>Audit of compliance with BUK business prohibitions</v>
      </c>
      <c r="C34" s="5" t="str">
        <f>IFERROR(__xludf.DUMMYFUNCTION("GOOGLETRANSLATE('Indonesia POJK 7'!C34,""IN"",""EN"")"),"Internal Audit")</f>
        <v>Internal Audit</v>
      </c>
      <c r="D34" s="5" t="str">
        <f>IFERROR(__xludf.DUMMYFUNCTION("GOOGLETRANSLATE('Indonesia POJK 7'!D34,""IN"",""EN"")"),"Annual")</f>
        <v>Annual</v>
      </c>
      <c r="E34" s="5" t="str">
        <f>IFERROR(__xludf.DUMMYFUNCTION("GOOGLETRANSLATE('Indonesia POJK 7'!E34,""IN"",""EN"")"),"Thematic audit report")</f>
        <v>Thematic audit report</v>
      </c>
    </row>
  </sheetData>
  <mergeCells count="4">
    <mergeCell ref="A1:D1"/>
    <mergeCell ref="A2:D2"/>
    <mergeCell ref="A19:D19"/>
    <mergeCell ref="A27:D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75"/>
    <col customWidth="1" min="3" max="3" width="28.75"/>
    <col customWidth="1" min="4" max="4" width="35.13"/>
    <col customWidth="1" min="5" max="5" width="33.25"/>
  </cols>
  <sheetData>
    <row r="1">
      <c r="A1" s="1" t="s">
        <v>0</v>
      </c>
    </row>
    <row r="2">
      <c r="A2" s="16" t="s">
        <v>84</v>
      </c>
    </row>
    <row r="4" ht="28.5" customHeight="1">
      <c r="A4" s="13" t="s">
        <v>2</v>
      </c>
      <c r="B4" s="13" t="s">
        <v>3</v>
      </c>
      <c r="C4" s="13" t="s">
        <v>4</v>
      </c>
      <c r="D4" s="13" t="s">
        <v>5</v>
      </c>
    </row>
    <row r="5">
      <c r="A5" s="5">
        <v>1.0</v>
      </c>
      <c r="B5" s="5" t="s">
        <v>85</v>
      </c>
      <c r="C5" s="5" t="s">
        <v>86</v>
      </c>
      <c r="D5" s="5" t="s">
        <v>87</v>
      </c>
    </row>
    <row r="6">
      <c r="A6" s="5">
        <v>2.0</v>
      </c>
      <c r="B6" s="5" t="s">
        <v>88</v>
      </c>
      <c r="C6" s="5" t="s">
        <v>89</v>
      </c>
      <c r="D6" s="5" t="s">
        <v>90</v>
      </c>
    </row>
    <row r="7">
      <c r="A7" s="5">
        <v>3.0</v>
      </c>
      <c r="B7" s="5" t="s">
        <v>91</v>
      </c>
      <c r="C7" s="5" t="s">
        <v>92</v>
      </c>
      <c r="D7" s="5" t="s">
        <v>93</v>
      </c>
    </row>
    <row r="8">
      <c r="A8" s="5">
        <v>4.0</v>
      </c>
      <c r="B8" s="5" t="s">
        <v>94</v>
      </c>
      <c r="C8" s="5" t="s">
        <v>95</v>
      </c>
      <c r="D8" s="5" t="s">
        <v>96</v>
      </c>
    </row>
    <row r="9">
      <c r="A9" s="5">
        <v>5.0</v>
      </c>
      <c r="B9" s="5" t="s">
        <v>97</v>
      </c>
      <c r="C9" s="5" t="s">
        <v>98</v>
      </c>
      <c r="D9" s="5" t="s">
        <v>99</v>
      </c>
    </row>
    <row r="10">
      <c r="A10" s="5">
        <v>6.0</v>
      </c>
      <c r="B10" s="5" t="s">
        <v>100</v>
      </c>
      <c r="C10" s="5" t="s">
        <v>101</v>
      </c>
      <c r="D10" s="5" t="s">
        <v>102</v>
      </c>
    </row>
    <row r="11">
      <c r="A11" s="5">
        <v>7.0</v>
      </c>
      <c r="B11" s="5" t="s">
        <v>103</v>
      </c>
      <c r="C11" s="5" t="s">
        <v>104</v>
      </c>
      <c r="D11" s="5" t="s">
        <v>105</v>
      </c>
    </row>
    <row r="12">
      <c r="A12" s="5">
        <v>8.0</v>
      </c>
      <c r="B12" s="5" t="s">
        <v>106</v>
      </c>
      <c r="C12" s="5" t="s">
        <v>107</v>
      </c>
      <c r="D12" s="5" t="s">
        <v>108</v>
      </c>
    </row>
    <row r="13">
      <c r="A13" s="5">
        <v>9.0</v>
      </c>
      <c r="B13" s="5" t="s">
        <v>109</v>
      </c>
      <c r="C13" s="5" t="s">
        <v>110</v>
      </c>
      <c r="D13" s="5" t="s">
        <v>111</v>
      </c>
    </row>
    <row r="16">
      <c r="A16" s="2" t="s">
        <v>112</v>
      </c>
    </row>
    <row r="18" ht="26.25" customHeight="1">
      <c r="A18" s="13" t="s">
        <v>43</v>
      </c>
      <c r="B18" s="13" t="s">
        <v>113</v>
      </c>
      <c r="C18" s="13" t="s">
        <v>4</v>
      </c>
      <c r="D18" s="13" t="s">
        <v>114</v>
      </c>
    </row>
    <row r="19">
      <c r="A19" s="7">
        <v>1.0</v>
      </c>
      <c r="B19" s="8" t="s">
        <v>115</v>
      </c>
      <c r="C19" s="8" t="s">
        <v>116</v>
      </c>
      <c r="D19" s="5" t="s">
        <v>117</v>
      </c>
    </row>
    <row r="20">
      <c r="A20" s="7">
        <v>2.0</v>
      </c>
      <c r="B20" s="8" t="s">
        <v>118</v>
      </c>
      <c r="C20" s="8" t="s">
        <v>119</v>
      </c>
      <c r="D20" s="5" t="s">
        <v>120</v>
      </c>
    </row>
    <row r="21">
      <c r="A21" s="7">
        <v>3.0</v>
      </c>
      <c r="B21" s="8" t="s">
        <v>121</v>
      </c>
      <c r="C21" s="8" t="s">
        <v>122</v>
      </c>
      <c r="D21" s="5" t="s">
        <v>123</v>
      </c>
    </row>
    <row r="23">
      <c r="A23" s="2" t="s">
        <v>124</v>
      </c>
    </row>
    <row r="25" ht="22.5" customHeight="1">
      <c r="A25" s="15" t="s">
        <v>43</v>
      </c>
      <c r="B25" s="17" t="s">
        <v>125</v>
      </c>
      <c r="C25" s="17" t="s">
        <v>126</v>
      </c>
      <c r="D25" s="17" t="s">
        <v>62</v>
      </c>
      <c r="E25" s="17" t="s">
        <v>127</v>
      </c>
    </row>
    <row r="26">
      <c r="A26" s="11">
        <v>1.0</v>
      </c>
      <c r="B26" s="5" t="s">
        <v>128</v>
      </c>
      <c r="C26" s="5" t="s">
        <v>129</v>
      </c>
      <c r="D26" s="5" t="s">
        <v>66</v>
      </c>
      <c r="E26" s="5" t="s">
        <v>130</v>
      </c>
    </row>
    <row r="27">
      <c r="A27" s="11">
        <v>2.0</v>
      </c>
      <c r="B27" s="5" t="s">
        <v>131</v>
      </c>
      <c r="C27" s="5" t="s">
        <v>132</v>
      </c>
      <c r="D27" s="5" t="s">
        <v>133</v>
      </c>
      <c r="E27" s="5" t="s">
        <v>134</v>
      </c>
    </row>
    <row r="28">
      <c r="A28" s="11">
        <v>3.0</v>
      </c>
      <c r="B28" s="5" t="s">
        <v>135</v>
      </c>
      <c r="C28" s="5" t="s">
        <v>65</v>
      </c>
      <c r="D28" s="5" t="s">
        <v>136</v>
      </c>
      <c r="E28" s="5" t="s">
        <v>137</v>
      </c>
    </row>
    <row r="29">
      <c r="A29" s="11">
        <v>4.0</v>
      </c>
      <c r="B29" s="5" t="s">
        <v>138</v>
      </c>
      <c r="C29" s="5" t="s">
        <v>139</v>
      </c>
      <c r="D29" s="5" t="s">
        <v>140</v>
      </c>
      <c r="E29" s="5" t="s">
        <v>141</v>
      </c>
    </row>
    <row r="30">
      <c r="A30" s="4">
        <v>5.0</v>
      </c>
      <c r="B30" s="5" t="s">
        <v>142</v>
      </c>
      <c r="C30" s="5" t="s">
        <v>143</v>
      </c>
      <c r="D30" s="5" t="s">
        <v>144</v>
      </c>
      <c r="E30" s="5" t="s">
        <v>145</v>
      </c>
    </row>
    <row r="31">
      <c r="A31" s="4">
        <v>6.0</v>
      </c>
      <c r="B31" s="5" t="s">
        <v>146</v>
      </c>
      <c r="C31" s="5" t="s">
        <v>132</v>
      </c>
      <c r="D31" s="5" t="s">
        <v>147</v>
      </c>
      <c r="E31" s="5" t="s">
        <v>148</v>
      </c>
    </row>
    <row r="32">
      <c r="A32" s="4">
        <v>7.0</v>
      </c>
      <c r="B32" s="5" t="s">
        <v>149</v>
      </c>
      <c r="C32" s="5" t="s">
        <v>76</v>
      </c>
      <c r="D32" s="5" t="s">
        <v>150</v>
      </c>
      <c r="E32" s="5" t="s">
        <v>151</v>
      </c>
    </row>
    <row r="33">
      <c r="A33" s="4">
        <v>8.0</v>
      </c>
      <c r="B33" s="5" t="s">
        <v>152</v>
      </c>
      <c r="C33" s="5" t="s">
        <v>132</v>
      </c>
      <c r="D33" s="5" t="s">
        <v>150</v>
      </c>
      <c r="E33" s="5" t="s">
        <v>153</v>
      </c>
    </row>
  </sheetData>
  <mergeCells count="2">
    <mergeCell ref="A1:D1"/>
    <mergeCell ref="A2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75"/>
    <col customWidth="1" min="3" max="3" width="28.75"/>
    <col customWidth="1" min="4" max="4" width="35.13"/>
    <col customWidth="1" min="5" max="5" width="33.25"/>
  </cols>
  <sheetData>
    <row r="1">
      <c r="A1" s="1" t="str">
        <f>IFERROR(__xludf.DUMMYFUNCTION("GOOGLETRANSLATE('Indonesia POJK 28'!A1,""IN"",""EN"")"),"LIST OF BPR OPERATIONAL LIMITS THAT MAY NOT BE VIOLATED")</f>
        <v>LIST OF BPR OPERATIONAL LIMITS THAT MAY NOT BE VIOLATED</v>
      </c>
    </row>
    <row r="2">
      <c r="A2" s="12" t="str">
        <f>IFERROR(__xludf.DUMMYFUNCTION("GOOGLETRANSLATE('Indonesia POJK 28'!A2,""IN"",""EN"")"),"IN ACCORDANCE WITH THE PROVISIONS: POJK NO. 28 OF 2023 CONCERNING POJK Determination of Status and Follow-up Supervision of People's Economic Banks and Sharia BPRs")</f>
        <v>IN ACCORDANCE WITH THE PROVISIONS: POJK NO. 28 OF 2023 CONCERNING POJK Determination of Status and Follow-up Supervision of People's Economic Banks and Sharia BPRs</v>
      </c>
    </row>
    <row r="4" ht="28.5" customHeight="1">
      <c r="A4" s="18" t="s">
        <v>2</v>
      </c>
      <c r="B4" s="18" t="str">
        <f>IFERROR(__xludf.DUMMYFUNCTION("GOOGLETRANSLATE('Indonesia POJK 28'!B4,""IN"",""EN"")"),"Operational Limitations")</f>
        <v>Operational Limitations</v>
      </c>
      <c r="C4" s="18" t="str">
        <f>IFERROR(__xludf.DUMMYFUNCTION("GOOGLETRANSLATE('Indonesia POJK 28'!C4,""IN"",""EN"")"),"Article Reference")</f>
        <v>Article Reference</v>
      </c>
      <c r="D4" s="18" t="str">
        <f>IFERROR(__xludf.DUMMYFUNCTION("GOOGLETRANSLATE('Indonesia POJK 28'!D4,""IN"",""EN"")"),"Risks / Consequences If Violated")</f>
        <v>Risks / Consequences If Violated</v>
      </c>
    </row>
    <row r="5">
      <c r="A5" s="11">
        <v>1.0</v>
      </c>
      <c r="B5" s="5" t="str">
        <f>IFERROR(__xludf.DUMMYFUNCTION("GOOGLETRANSLATE('Indonesia POJK 28'!B5,""IN"",""EN"")"),"Not submitting an action plan within 14 days after being requested by OJK")</f>
        <v>Not submitting an action plan within 14 days after being requested by OJK</v>
      </c>
      <c r="C5" s="5" t="str">
        <f>IFERROR(__xludf.DUMMYFUNCTION("GOOGLETRANSLATE('Indonesia POJK 28'!C5,""IN"",""EN"")"),"Article 3 paragraph (2)")</f>
        <v>Article 3 paragraph (2)</v>
      </c>
      <c r="D5" s="5" t="str">
        <f>IFERROR(__xludf.DUMMYFUNCTION("GOOGLETRANSLATE('Indonesia POJK 28'!D5,""IN"",""EN"")"),"Written warning, then restrictions on business activities")</f>
        <v>Written warning, then restrictions on business activities</v>
      </c>
    </row>
    <row r="6">
      <c r="A6" s="11">
        <v>2.0</v>
      </c>
      <c r="B6" s="5" t="str">
        <f>IFERROR(__xludf.DUMMYFUNCTION("GOOGLETRANSLATE('Indonesia POJK 28'!B6,""IN"",""EN"")"),"Failure to submit a report on the realization of the action plan within 10 working days")</f>
        <v>Failure to submit a report on the realization of the action plan within 10 working days</v>
      </c>
      <c r="C6" s="5" t="str">
        <f>IFERROR(__xludf.DUMMYFUNCTION("GOOGLETRANSLATE('Indonesia POJK 28'!C6,""IN"",""EN"")"),"Article 4 paragraph (2), Article 8 paragraph (1)")</f>
        <v>Article 4 paragraph (2), Article 8 paragraph (1)</v>
      </c>
      <c r="D6" s="5" t="str">
        <f>IFERROR(__xludf.DUMMYFUNCTION("GOOGLETRANSLATE('Indonesia POJK 28'!D6,""IN"",""EN"")"),"Written warning to prohibition as the main party")</f>
        <v>Written warning to prohibition as the main party</v>
      </c>
    </row>
    <row r="7">
      <c r="A7" s="11">
        <v>3.0</v>
      </c>
      <c r="B7" s="5" t="str">
        <f>IFERROR(__xludf.DUMMYFUNCTION("GOOGLETRANSLATE('Indonesia POJK 28'!B7,""IN"",""EN"")"),"Not maintaining financial condition while in recovery")</f>
        <v>Not maintaining financial condition while in recovery</v>
      </c>
      <c r="C7" s="5" t="str">
        <f>IFERROR(__xludf.DUMMYFUNCTION("GOOGLETRANSLATE('Indonesia POJK 28'!C7,""IN"",""EN"")"),"Article 8 paragraph (2)")</f>
        <v>Article 8 paragraph (2)</v>
      </c>
      <c r="D7" s="5" t="str">
        <f>IFERROR(__xludf.DUMMYFUNCTION("GOOGLETRANSLATE('Indonesia POJK 28'!D7,""IN"",""EN"")"),"Status can change to resolution")</f>
        <v>Status can change to resolution</v>
      </c>
    </row>
    <row r="8">
      <c r="A8" s="11">
        <v>4.0</v>
      </c>
      <c r="B8" s="5" t="str">
        <f>IFERROR(__xludf.DUMMYFUNCTION("GOOGLETRANSLATE('Indonesia POJK 28'!B8,""IN"",""EN"")"),"Not taking action according to written orders from OJK")</f>
        <v>Not taking action according to written orders from OJK</v>
      </c>
      <c r="C8" s="5" t="str">
        <f>IFERROR(__xludf.DUMMYFUNCTION("GOOGLETRANSLATE('Indonesia POJK 28'!C8,""IN"",""EN"")"),"Article 16, Article 28 paragraph (4)")</f>
        <v>Article 16, Article 28 paragraph (4)</v>
      </c>
      <c r="D8" s="5" t="str">
        <f>IFERROR(__xludf.DUMMYFUNCTION("GOOGLETRANSLATE('Indonesia POJK 28'!D8,""IN"",""EN"")"),"Criminal sanctions, prohibitions as the main party")</f>
        <v>Criminal sanctions, prohibitions as the main party</v>
      </c>
    </row>
    <row r="9">
      <c r="A9" s="11">
        <v>5.0</v>
      </c>
      <c r="B9" s="5" t="str">
        <f>IFERROR(__xludf.DUMMYFUNCTION("GOOGLETRANSLATE('Indonesia POJK 28'!B9,""IN"",""EN"")"),"Not announcing the ban on fundraising/distribution to the public within 5 working days")</f>
        <v>Not announcing the ban on fundraising/distribution to the public within 5 working days</v>
      </c>
      <c r="C9" s="5" t="str">
        <f>IFERROR(__xludf.DUMMYFUNCTION("GOOGLETRANSLATE('Indonesia POJK 28'!C9,""IN"",""EN"")"),"Article 21 paragraph (3)")</f>
        <v>Article 21 paragraph (3)</v>
      </c>
      <c r="D9" s="5" t="str">
        <f>IFERROR(__xludf.DUMMYFUNCTION("GOOGLETRANSLATE('Indonesia POJK 28'!D9,""IN"",""EN"")"),"Warning, business restrictions, prohibition as the main party")</f>
        <v>Warning, business restrictions, prohibition as the main party</v>
      </c>
    </row>
    <row r="10">
      <c r="A10" s="11">
        <v>6.0</v>
      </c>
      <c r="B10" s="5" t="str">
        <f>IFERROR(__xludf.DUMMYFUNCTION("GOOGLETRANSLATE('Indonesia POJK 28'!B10,""IN"",""EN"")"),"Not submitting evidence of the announcement of the ban to the OJK")</f>
        <v>Not submitting evidence of the announcement of the ban to the OJK</v>
      </c>
      <c r="C10" s="5" t="str">
        <f>IFERROR(__xludf.DUMMYFUNCTION("GOOGLETRANSLATE('Indonesia POJK 28'!C10,""IN"",""EN"")"),"Article 21 paragraph (4)")</f>
        <v>Article 21 paragraph (4)</v>
      </c>
      <c r="D10" s="5" t="str">
        <f>IFERROR(__xludf.DUMMYFUNCTION("GOOGLETRANSLATE('Indonesia POJK 28'!D10,""IN"",""EN"")"),"Same as above")</f>
        <v>Same as above</v>
      </c>
    </row>
    <row r="11">
      <c r="A11" s="11">
        <v>7.0</v>
      </c>
      <c r="B11" s="5" t="str">
        <f>IFERROR(__xludf.DUMMYFUNCTION("GOOGLETRANSLATE('Indonesia POJK 28'!B11,""IN"",""EN"")"),"Violating the OJK's business activity restriction order (for example, not stopping the distribution of funds)")</f>
        <v>Violating the OJK's business activity restriction order (for example, not stopping the distribution of funds)</v>
      </c>
      <c r="C11" s="5" t="str">
        <f>IFERROR(__xludf.DUMMYFUNCTION("GOOGLETRANSLATE('Indonesia POJK 28'!C11,""IN"",""EN"")"),"Article 16 letter m")</f>
        <v>Article 16 letter m</v>
      </c>
      <c r="D11" s="5" t="str">
        <f>IFERROR(__xludf.DUMMYFUNCTION("GOOGLETRANSLATE('Indonesia POJK 28'!D11,""IN"",""EN"")"),"Warning, business restrictions, criminal sanctions")</f>
        <v>Warning, business restrictions, criminal sanctions</v>
      </c>
    </row>
    <row r="12">
      <c r="A12" s="11">
        <v>8.0</v>
      </c>
      <c r="B12" s="5" t="str">
        <f>IFERROR(__xludf.DUMMYFUNCTION("GOOGLETRANSLATE('Indonesia POJK 28'!B12,""IN"",""EN"")"),"Failure to comply with OJK's indirect supervision requests (reports, data, etc.)")</f>
        <v>Failure to comply with OJK's indirect supervision requests (reports, data, etc.)</v>
      </c>
      <c r="C12" s="5" t="str">
        <f>IFERROR(__xludf.DUMMYFUNCTION("GOOGLETRANSLATE('Indonesia POJK 28'!C12,""IN"",""EN"")"),"Article 27 paragraph (4)")</f>
        <v>Article 27 paragraph (4)</v>
      </c>
      <c r="D12" s="5" t="str">
        <f>IFERROR(__xludf.DUMMYFUNCTION("GOOGLETRANSLATE('Indonesia POJK 28'!D12,""IN"",""EN"")"),"Reprimand to prohibition as the main party")</f>
        <v>Reprimand to prohibition as the main party</v>
      </c>
    </row>
    <row r="13">
      <c r="A13" s="11">
        <v>9.0</v>
      </c>
      <c r="B13" s="5" t="str">
        <f>IFERROR(__xludf.DUMMYFUNCTION("GOOGLETRANSLATE('Indonesia POJK 28'!B13,""IN"",""EN"")"),"Not implementing account blocking as per OJK orders")</f>
        <v>Not implementing account blocking as per OJK orders</v>
      </c>
      <c r="C13" s="5" t="str">
        <f>IFERROR(__xludf.DUMMYFUNCTION("GOOGLETRANSLATE('Indonesia POJK 28'!C13,""IN"",""EN"")"),"Article 28 paragraph (4)")</f>
        <v>Article 28 paragraph (4)</v>
      </c>
      <c r="D13" s="5" t="str">
        <f>IFERROR(__xludf.DUMMYFUNCTION("GOOGLETRANSLATE('Indonesia POJK 28'!D13,""IN"",""EN"")"),"Reprimand up to prohibition of the main party")</f>
        <v>Reprimand up to prohibition of the main party</v>
      </c>
    </row>
    <row r="16">
      <c r="A16" s="14" t="str">
        <f>IFERROR(__xludf.DUMMYFUNCTION("GOOGLETRANSLATE('Indonesia POJK 28'!A16,""IN"",""EN"")"),"CRITICAL INDICATORS FOR DETERMINING RESCUE / RESOLUTION STATUS")</f>
        <v>CRITICAL INDICATORS FOR DETERMINING RESCUE / RESOLUTION STATUS</v>
      </c>
    </row>
    <row r="18" ht="26.25" customHeight="1">
      <c r="A18" s="18" t="s">
        <v>43</v>
      </c>
      <c r="B18" s="18" t="str">
        <f>IFERROR(__xludf.DUMMYFUNCTION("GOOGLETRANSLATE('Indonesia POJK 28'!B18,""IN"",""EN"")"),"Status")</f>
        <v>Status</v>
      </c>
      <c r="C18" s="18" t="str">
        <f>IFERROR(__xludf.DUMMYFUNCTION("GOOGLETRANSLATE('Indonesia POJK 28'!C18,""IN"",""EN"")"),"Article Reference")</f>
        <v>Article Reference</v>
      </c>
      <c r="D18" s="18" t="str">
        <f>IFERROR(__xludf.DUMMYFUNCTION("GOOGLETRANSLATE('Indonesia POJK 28'!D18,""IN"",""EN"")"),"Determination Criteria")</f>
        <v>Determination Criteria</v>
      </c>
    </row>
    <row r="19">
      <c r="A19" s="7">
        <v>1.0</v>
      </c>
      <c r="B19" s="5" t="str">
        <f>IFERROR(__xludf.DUMMYFUNCTION("GOOGLETRANSLATE('Indonesia POJK 28'!B19,""IN"",""EN"")"),"Health")</f>
        <v>Health</v>
      </c>
      <c r="C19" s="5" t="str">
        <f>IFERROR(__xludf.DUMMYFUNCTION("GOOGLETRANSLATE('Indonesia POJK 28'!C19,""IN"",""EN"")"),"Article 5")</f>
        <v>Article 5</v>
      </c>
      <c r="D19" s="5" t="str">
        <f>IFERROR(__xludf.DUMMYFUNCTION("GOOGLETRANSLATE('Indonesia POJK 28'!D19,""IN"",""EN"")"),"- TKS with Composite Rating (PK) 5 for 2 periods
- Cash Ratio &lt; 5% for 3 months
- KPMM &lt; 12%")</f>
        <v>- TKS with Composite Rating (PK) 5 for 2 periods
- Cash Ratio &lt; 5% for 3 months
- KPMM &lt; 12%</v>
      </c>
    </row>
    <row r="20">
      <c r="A20" s="7">
        <v>2.0</v>
      </c>
      <c r="B20" s="5" t="str">
        <f>IFERROR(__xludf.DUMMYFUNCTION("GOOGLETRANSLATE('Indonesia POJK 28'!B20,""IN"",""EN"")"),"Resolution")</f>
        <v>Resolution</v>
      </c>
      <c r="C20" s="5" t="str">
        <f>IFERROR(__xludf.DUMMYFUNCTION("GOOGLETRANSLATE('Indonesia POJK 28'!C20,""IN"",""EN"")"),"Article 11")</f>
        <v>Article 11</v>
      </c>
      <c r="D20" s="5" t="str">
        <f>IFERROR(__xludf.DUMMYFUNCTION("GOOGLETRANSLATE('Indonesia POJK 28'!D20,""IN"",""EN"")"),"- CR ≤ 1% or KPMM ≤ 2%
- Unable to increase to KPMM ≥12% / CR ≥5% within the recovery period")</f>
        <v>- CR ≤ 1% or KPMM ≤ 2%
- Unable to increase to KPMM ≥12% / CR ≥5% within the recovery period</v>
      </c>
    </row>
    <row r="21">
      <c r="A21" s="7">
        <v>3.0</v>
      </c>
      <c r="B21" s="5" t="str">
        <f>IFERROR(__xludf.DUMMYFUNCTION("GOOGLETRANSLATE('Indonesia POJK 28'!B21,""IN"",""EN"")"),"Normal")</f>
        <v>Normal</v>
      </c>
      <c r="C21" s="5" t="str">
        <f>IFERROR(__xludf.DUMMYFUNCTION("GOOGLETRANSLATE('Indonesia POJK 28'!C21,""IN"",""EN"")"),"Article 10")</f>
        <v>Article 10</v>
      </c>
      <c r="D21" s="5" t="str">
        <f>IFERROR(__xludf.DUMMYFUNCTION("GOOGLETRANSLATE('Indonesia POJK 28'!D21,""IN"",""EN"")"),"- Minimum PK 4
- CR ≥ 5%, KPMM ≥ 12%")</f>
        <v>- Minimum PK 4
- CR ≥ 5%, KPMM ≥ 12%</v>
      </c>
    </row>
    <row r="23">
      <c r="A23" s="14" t="str">
        <f>IFERROR(__xludf.DUMMYFUNCTION("GOOGLETRANSLATE('Indonesia POJK 28'!A23,""IN"",""EN"")"),"MONITORING MECHANISM OF OBLIGATIONS OF POJK 28/2023")</f>
        <v>MONITORING MECHANISM OF OBLIGATIONS OF POJK 28/2023</v>
      </c>
    </row>
    <row r="25" ht="22.5" customHeight="1">
      <c r="A25" s="19" t="s">
        <v>43</v>
      </c>
      <c r="B25" s="18" t="str">
        <f>IFERROR(__xludf.DUMMYFUNCTION("GOOGLETRANSLATE('Indonesia POJK 28'!B25,""IN"",""EN"")"),"Supervision Aspects")</f>
        <v>Supervision Aspects</v>
      </c>
      <c r="C25" s="18" t="str">
        <f>IFERROR(__xludf.DUMMYFUNCTION("GOOGLETRANSLATE('Indonesia POJK 28'!C25,""IN"",""EN"")"),"Tasks/Functions")</f>
        <v>Tasks/Functions</v>
      </c>
      <c r="D25" s="18" t="str">
        <f>IFERROR(__xludf.DUMMYFUNCTION("GOOGLETRANSLATE('Indonesia POJK 28'!D25,""IN"",""EN"")"),"Frequency")</f>
        <v>Frequency</v>
      </c>
      <c r="E25" s="18" t="str">
        <f>IFERROR(__xludf.DUMMYFUNCTION("GOOGLETRANSLATE('Indonesia POJK 28'!E25,""IN"",""EN"")"),"Monitoring Tools")</f>
        <v>Monitoring Tools</v>
      </c>
    </row>
    <row r="26">
      <c r="A26" s="11">
        <v>1.0</v>
      </c>
      <c r="B26" s="5" t="str">
        <f>IFERROR(__xludf.DUMMYFUNCTION("GOOGLETRANSLATE('Indonesia POJK 28'!B26,""IN"",""EN"")"),"Monitoring of TKS, CR, and KPMM")</f>
        <v>Monitoring of TKS, CR, and KPMM</v>
      </c>
      <c r="C26" s="5" t="str">
        <f>IFERROR(__xludf.DUMMYFUNCTION("GOOGLETRANSLATE('Indonesia POJK 28'!C26,""IN"",""EN"")"),"Risk/Finance Division")</f>
        <v>Risk/Finance Division</v>
      </c>
      <c r="D26" s="5" t="str">
        <f>IFERROR(__xludf.DUMMYFUNCTION("GOOGLETRANSLATE('Indonesia POJK 28'!D26,""IN"",""EN"")"),"Monthly")</f>
        <v>Monthly</v>
      </c>
      <c r="E26" s="5" t="str">
        <f>IFERROR(__xludf.DUMMYFUNCTION("GOOGLETRANSLATE('Indonesia POJK 28'!E26,""IN"",""EN"")"),"Financial dashboard")</f>
        <v>Financial dashboard</v>
      </c>
    </row>
    <row r="27">
      <c r="A27" s="11">
        <v>2.0</v>
      </c>
      <c r="B27" s="5" t="str">
        <f>IFERROR(__xludf.DUMMYFUNCTION("GOOGLETRANSLATE('Indonesia POJK 28'!B27,""IN"",""EN"")"),"Submission of Action Plan")</f>
        <v>Submission of Action Plan</v>
      </c>
      <c r="C27" s="5" t="str">
        <f>IFERROR(__xludf.DUMMYFUNCTION("GOOGLETRANSLATE('Indonesia POJK 28'!C27,""IN"",""EN"")"),"Directors + Compliance")</f>
        <v>Directors + Compliance</v>
      </c>
      <c r="D27" s="5" t="str">
        <f>IFERROR(__xludf.DUMMYFUNCTION("GOOGLETRANSLATE('Indonesia POJK 28'!D27,""IN"",""EN"")"),"If requested by OJK")</f>
        <v>If requested by OJK</v>
      </c>
      <c r="E27" s="5" t="str">
        <f>IFERROR(__xludf.DUMMYFUNCTION("GOOGLETRANSLATE('Indonesia POJK 28'!E27,""IN"",""EN"")"),"Document templates &amp; tracker")</f>
        <v>Document templates &amp; tracker</v>
      </c>
    </row>
    <row r="28">
      <c r="A28" s="11">
        <v>3.0</v>
      </c>
      <c r="B28" s="5" t="str">
        <f>IFERROR(__xludf.DUMMYFUNCTION("GOOGLETRANSLATE('Indonesia POJK 28'!B28,""IN"",""EN"")"),"Action Plan Realization Report")</f>
        <v>Action Plan Realization Report</v>
      </c>
      <c r="C28" s="5" t="str">
        <f>IFERROR(__xludf.DUMMYFUNCTION("GOOGLETRANSLATE('Indonesia POJK 28'!C28,""IN"",""EN"")"),"Compliance Officer")</f>
        <v>Compliance Officer</v>
      </c>
      <c r="D28" s="5" t="str">
        <f>IFERROR(__xludf.DUMMYFUNCTION("GOOGLETRANSLATE('Indonesia POJK 28'!D28,""IN"",""EN"")"),"Monthly (for health status)")</f>
        <v>Monthly (for health status)</v>
      </c>
      <c r="E28" s="5" t="str">
        <f>IFERROR(__xludf.DUMMYFUNCTION("GOOGLETRANSLATE('Indonesia POJK 28'!E28,""IN"",""EN"")"),"Reporting activity log")</f>
        <v>Reporting activity log</v>
      </c>
    </row>
    <row r="29">
      <c r="A29" s="11">
        <v>4.0</v>
      </c>
      <c r="B29" s="5" t="str">
        <f>IFERROR(__xludf.DUMMYFUNCTION("GOOGLETRANSLATE('Indonesia POJK 28'!B29,""IN"",""EN"")"),"Announcement of Prohibition on Collection/Distribution of Funds")</f>
        <v>Announcement of Prohibition on Collection/Distribution of Funds</v>
      </c>
      <c r="C29" s="5" t="str">
        <f>IFERROR(__xludf.DUMMYFUNCTION("GOOGLETRANSLATE('Indonesia POJK 28'!C29,""IN"",""EN"")"),"Legal + Communication Division")</f>
        <v>Legal + Communication Division</v>
      </c>
      <c r="D29" s="5" t="str">
        <f>IFERROR(__xludf.DUMMYFUNCTION("GOOGLETRANSLATE('Indonesia POJK 28'!D29,""IN"",""EN"")"),"If there is an OJK ban")</f>
        <v>If there is an OJK ban</v>
      </c>
      <c r="E29" s="5" t="str">
        <f>IFERROR(__xludf.DUMMYFUNCTION("GOOGLETRANSLATE('Indonesia POJK 28'!E29,""IN"",""EN"")"),"Proof of announcement form")</f>
        <v>Proof of announcement form</v>
      </c>
    </row>
    <row r="30">
      <c r="A30" s="4">
        <v>5.0</v>
      </c>
      <c r="B30" s="5" t="str">
        <f>IFERROR(__xludf.DUMMYFUNCTION("GOOGLETRANSLATE('Indonesia POJK 28'!B30,""IN"",""EN"")"),"Verification of Follow-up Actions of OJK Orders")</f>
        <v>Verification of Follow-up Actions of OJK Orders</v>
      </c>
      <c r="C30" s="5" t="str">
        <f>IFERROR(__xludf.DUMMYFUNCTION("GOOGLETRANSLATE('Indonesia POJK 28'!C30,""IN"",""EN"")"),"Compliance Function")</f>
        <v>Compliance Function</v>
      </c>
      <c r="D30" s="5" t="str">
        <f>IFERROR(__xludf.DUMMYFUNCTION("GOOGLETRANSLATE('Indonesia POJK 28'!D30,""IN"",""EN"")"),"When there is an OJK letter")</f>
        <v>When there is an OJK letter</v>
      </c>
      <c r="E30" s="5" t="str">
        <f>IFERROR(__xludf.DUMMYFUNCTION("GOOGLETRANSLATE('Indonesia POJK 28'!E30,""IN"",""EN"")"),"Action checklist")</f>
        <v>Action checklist</v>
      </c>
    </row>
    <row r="31">
      <c r="A31" s="4">
        <v>6.0</v>
      </c>
      <c r="B31" s="5" t="str">
        <f>IFERROR(__xludf.DUMMYFUNCTION("GOOGLETRANSLATE('Indonesia POJK 28'!B31,""IN"",""EN"")"),"Restrictions on Business Activities (if stipulated)")</f>
        <v>Restrictions on Business Activities (if stipulated)</v>
      </c>
      <c r="C31" s="5" t="str">
        <f>IFERROR(__xludf.DUMMYFUNCTION("GOOGLETRANSLATE('Indonesia POJK 28'!C31,""IN"",""EN"")"),"Directors + Compliance")</f>
        <v>Directors + Compliance</v>
      </c>
      <c r="D31" s="5" t="str">
        <f>IFERROR(__xludf.DUMMYFUNCTION("GOOGLETRANSLATE('Indonesia POJK 28'!D31,""IN"",""EN"")"),"Daily")</f>
        <v>Daily</v>
      </c>
      <c r="E31" s="5" t="str">
        <f>IFERROR(__xludf.DUMMYFUNCTION("GOOGLETRANSLATE('Indonesia POJK 28'!E31,""IN"",""EN"")"),"Activity watchlist")</f>
        <v>Activity watchlist</v>
      </c>
    </row>
    <row r="32">
      <c r="A32" s="4">
        <v>7.0</v>
      </c>
      <c r="B32" s="5" t="str">
        <f>IFERROR(__xludf.DUMMYFUNCTION("GOOGLETRANSLATE('Indonesia POJK 28'!B32,""IN"",""EN"")"),"Account opening/blocking")</f>
        <v>Account opening/blocking</v>
      </c>
      <c r="C32" s="5" t="str">
        <f>IFERROR(__xludf.DUMMYFUNCTION("GOOGLETRANSLATE('Indonesia POJK 28'!C32,""IN"",""EN"")"),"Operational")</f>
        <v>Operational</v>
      </c>
      <c r="D32" s="5" t="str">
        <f>IFERROR(__xludf.DUMMYFUNCTION("GOOGLETRANSLATE('Indonesia POJK 28'!D32,""IN"",""EN"")"),"Ad hoc")</f>
        <v>Ad hoc</v>
      </c>
      <c r="E32" s="5" t="str">
        <f>IFERROR(__xludf.DUMMYFUNCTION("GOOGLETRANSLATE('Indonesia POJK 28'!E32,""IN"",""EN"")"),"Register account and OJK Decree")</f>
        <v>Register account and OJK Decree</v>
      </c>
    </row>
    <row r="33">
      <c r="A33" s="4">
        <v>8.0</v>
      </c>
      <c r="B33" s="5" t="str">
        <f>IFERROR(__xludf.DUMMYFUNCTION("GOOGLETRANSLATE('Indonesia POJK 28'!B33,""IN"",""EN"")"),"OJK Data/Document Request")</f>
        <v>OJK Data/Document Request</v>
      </c>
      <c r="C33" s="5" t="str">
        <f>IFERROR(__xludf.DUMMYFUNCTION("GOOGLETRANSLATE('Indonesia POJK 28'!C33,""IN"",""EN"")"),"Directors + Compliance")</f>
        <v>Directors + Compliance</v>
      </c>
      <c r="D33" s="5" t="str">
        <f>IFERROR(__xludf.DUMMYFUNCTION("GOOGLETRANSLATE('Indonesia POJK 28'!D33,""IN"",""EN"")"),"Ad hoc")</f>
        <v>Ad hoc</v>
      </c>
      <c r="E33" s="5" t="str">
        <f>IFERROR(__xludf.DUMMYFUNCTION("GOOGLETRANSLATE('Indonesia POJK 28'!E33,""IN"",""EN"")"),"OJK request tracker")</f>
        <v>OJK request tracker</v>
      </c>
    </row>
  </sheetData>
  <mergeCells count="4">
    <mergeCell ref="A1:D1"/>
    <mergeCell ref="A2:D2"/>
    <mergeCell ref="A16:D16"/>
    <mergeCell ref="A23:D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75"/>
    <col customWidth="1" min="3" max="3" width="28.75"/>
    <col customWidth="1" min="4" max="4" width="35.13"/>
    <col customWidth="1" min="5" max="5" width="33.25"/>
    <col customWidth="1" min="6" max="6" width="27.25"/>
    <col customWidth="1" min="9" max="9" width="11.88"/>
  </cols>
  <sheetData>
    <row r="1">
      <c r="A1" s="1" t="s">
        <v>0</v>
      </c>
    </row>
    <row r="2">
      <c r="A2" s="16" t="s">
        <v>154</v>
      </c>
    </row>
    <row r="4" ht="28.5" customHeight="1">
      <c r="A4" s="13" t="s">
        <v>2</v>
      </c>
      <c r="B4" s="13" t="s">
        <v>3</v>
      </c>
      <c r="C4" s="13" t="s">
        <v>4</v>
      </c>
      <c r="D4" s="13" t="s">
        <v>155</v>
      </c>
      <c r="E4" s="13" t="s">
        <v>5</v>
      </c>
    </row>
    <row r="5">
      <c r="A5" s="7">
        <v>1.0</v>
      </c>
      <c r="B5" s="5" t="s">
        <v>156</v>
      </c>
      <c r="C5" s="5" t="s">
        <v>157</v>
      </c>
      <c r="D5" s="5" t="s">
        <v>158</v>
      </c>
      <c r="E5" s="5" t="s">
        <v>159</v>
      </c>
    </row>
    <row r="6">
      <c r="A6" s="7">
        <v>2.0</v>
      </c>
      <c r="B6" s="5" t="s">
        <v>160</v>
      </c>
      <c r="C6" s="5" t="s">
        <v>161</v>
      </c>
      <c r="D6" s="5" t="s">
        <v>162</v>
      </c>
      <c r="E6" s="5" t="s">
        <v>163</v>
      </c>
    </row>
    <row r="7">
      <c r="A7" s="7">
        <v>3.0</v>
      </c>
      <c r="B7" s="5" t="s">
        <v>164</v>
      </c>
      <c r="C7" s="5" t="s">
        <v>165</v>
      </c>
      <c r="D7" s="5" t="s">
        <v>166</v>
      </c>
      <c r="E7" s="5" t="s">
        <v>167</v>
      </c>
    </row>
    <row r="8">
      <c r="A8" s="7">
        <v>4.0</v>
      </c>
      <c r="B8" s="5" t="s">
        <v>168</v>
      </c>
      <c r="C8" s="5" t="s">
        <v>169</v>
      </c>
      <c r="D8" s="5" t="s">
        <v>162</v>
      </c>
      <c r="E8" s="5" t="s">
        <v>170</v>
      </c>
    </row>
    <row r="9">
      <c r="A9" s="7">
        <v>5.0</v>
      </c>
      <c r="B9" s="5" t="s">
        <v>171</v>
      </c>
      <c r="C9" s="5" t="s">
        <v>172</v>
      </c>
      <c r="D9" s="5" t="s">
        <v>173</v>
      </c>
      <c r="E9" s="5" t="s">
        <v>174</v>
      </c>
    </row>
    <row r="10">
      <c r="A10" s="7">
        <v>6.0</v>
      </c>
      <c r="B10" s="5" t="s">
        <v>175</v>
      </c>
      <c r="C10" s="5" t="s">
        <v>176</v>
      </c>
      <c r="D10" s="5" t="s">
        <v>177</v>
      </c>
      <c r="E10" s="5" t="s">
        <v>178</v>
      </c>
    </row>
    <row r="11">
      <c r="A11" s="7">
        <v>7.0</v>
      </c>
      <c r="B11" s="5" t="s">
        <v>179</v>
      </c>
      <c r="C11" s="5" t="s">
        <v>180</v>
      </c>
      <c r="D11" s="5" t="s">
        <v>181</v>
      </c>
      <c r="E11" s="5" t="s">
        <v>182</v>
      </c>
    </row>
    <row r="12">
      <c r="A12" s="7">
        <v>8.0</v>
      </c>
      <c r="B12" s="5" t="s">
        <v>183</v>
      </c>
      <c r="C12" s="5" t="s">
        <v>184</v>
      </c>
      <c r="D12" s="5" t="s">
        <v>185</v>
      </c>
      <c r="E12" s="5" t="s">
        <v>186</v>
      </c>
    </row>
    <row r="13">
      <c r="A13" s="7">
        <v>9.0</v>
      </c>
      <c r="B13" s="5" t="s">
        <v>187</v>
      </c>
      <c r="C13" s="5" t="s">
        <v>188</v>
      </c>
      <c r="D13" s="5" t="s">
        <v>189</v>
      </c>
      <c r="E13" s="5" t="s">
        <v>190</v>
      </c>
    </row>
    <row r="14">
      <c r="A14" s="7">
        <v>10.0</v>
      </c>
      <c r="B14" s="5" t="s">
        <v>191</v>
      </c>
      <c r="C14" s="5" t="s">
        <v>192</v>
      </c>
      <c r="D14" s="5" t="s">
        <v>193</v>
      </c>
      <c r="E14" s="5" t="s">
        <v>194</v>
      </c>
    </row>
    <row r="17">
      <c r="A17" s="2" t="s">
        <v>195</v>
      </c>
    </row>
    <row r="19" ht="22.5" customHeight="1">
      <c r="A19" s="15" t="s">
        <v>43</v>
      </c>
      <c r="B19" s="17" t="s">
        <v>125</v>
      </c>
      <c r="C19" s="17" t="s">
        <v>196</v>
      </c>
      <c r="D19" s="17" t="s">
        <v>197</v>
      </c>
      <c r="E19" s="17" t="s">
        <v>113</v>
      </c>
      <c r="F19" s="17" t="s">
        <v>198</v>
      </c>
    </row>
    <row r="20">
      <c r="A20" s="11">
        <v>1.0</v>
      </c>
      <c r="B20" s="11" t="s">
        <v>156</v>
      </c>
      <c r="C20" s="20">
        <v>0.1</v>
      </c>
      <c r="D20" s="21" t="s">
        <v>199</v>
      </c>
      <c r="E20" s="11" t="s">
        <v>200</v>
      </c>
      <c r="F20" s="21" t="s">
        <v>199</v>
      </c>
    </row>
    <row r="21">
      <c r="A21" s="11">
        <v>2.0</v>
      </c>
      <c r="B21" s="11" t="s">
        <v>201</v>
      </c>
      <c r="C21" s="20">
        <v>0.2</v>
      </c>
      <c r="D21" s="21" t="s">
        <v>199</v>
      </c>
      <c r="E21" s="11" t="s">
        <v>200</v>
      </c>
      <c r="F21" s="21" t="s">
        <v>199</v>
      </c>
    </row>
    <row r="22">
      <c r="A22" s="11">
        <v>3.0</v>
      </c>
      <c r="B22" s="11" t="s">
        <v>202</v>
      </c>
      <c r="C22" s="20">
        <v>0.3</v>
      </c>
      <c r="D22" s="21" t="s">
        <v>199</v>
      </c>
      <c r="E22" s="11" t="s">
        <v>200</v>
      </c>
      <c r="F22" s="21" t="s">
        <v>199</v>
      </c>
    </row>
    <row r="23">
      <c r="A23" s="11">
        <v>4.0</v>
      </c>
      <c r="B23" s="11" t="s">
        <v>203</v>
      </c>
      <c r="C23" s="20">
        <v>0.2</v>
      </c>
      <c r="D23" s="21" t="s">
        <v>199</v>
      </c>
      <c r="E23" s="11" t="s">
        <v>200</v>
      </c>
      <c r="F23" s="21" t="s">
        <v>199</v>
      </c>
    </row>
    <row r="24">
      <c r="A24" s="4">
        <v>5.0</v>
      </c>
      <c r="B24" s="11" t="s">
        <v>204</v>
      </c>
      <c r="C24" s="20">
        <v>0.3</v>
      </c>
      <c r="D24" s="21" t="s">
        <v>199</v>
      </c>
      <c r="E24" s="11" t="s">
        <v>200</v>
      </c>
      <c r="F24" s="21" t="s">
        <v>199</v>
      </c>
    </row>
    <row r="26">
      <c r="A26" s="2" t="s">
        <v>205</v>
      </c>
    </row>
    <row r="28">
      <c r="A28" s="22" t="s">
        <v>2</v>
      </c>
      <c r="B28" s="15" t="s">
        <v>206</v>
      </c>
      <c r="C28" s="15" t="s">
        <v>207</v>
      </c>
      <c r="D28" s="15" t="s">
        <v>208</v>
      </c>
      <c r="E28" s="15" t="s">
        <v>209</v>
      </c>
      <c r="F28" s="15" t="s">
        <v>210</v>
      </c>
      <c r="G28" s="15" t="s">
        <v>211</v>
      </c>
      <c r="H28" s="15" t="s">
        <v>113</v>
      </c>
      <c r="I28" s="15" t="s">
        <v>212</v>
      </c>
    </row>
    <row r="29">
      <c r="A29" s="11">
        <v>1.0</v>
      </c>
      <c r="B29" s="11" t="s">
        <v>213</v>
      </c>
      <c r="C29" s="11" t="s">
        <v>214</v>
      </c>
      <c r="D29" s="11" t="s">
        <v>215</v>
      </c>
      <c r="E29" s="11" t="s">
        <v>216</v>
      </c>
      <c r="F29" s="11" t="s">
        <v>217</v>
      </c>
      <c r="G29" s="20">
        <v>0.2</v>
      </c>
      <c r="H29" s="11" t="s">
        <v>218</v>
      </c>
      <c r="I29" s="11" t="s">
        <v>219</v>
      </c>
    </row>
    <row r="30">
      <c r="A30" s="11">
        <v>2.0</v>
      </c>
      <c r="B30" s="11" t="s">
        <v>220</v>
      </c>
      <c r="C30" s="11" t="s">
        <v>221</v>
      </c>
      <c r="D30" s="11" t="s">
        <v>222</v>
      </c>
      <c r="E30" s="11" t="s">
        <v>223</v>
      </c>
      <c r="F30" s="11" t="s">
        <v>224</v>
      </c>
      <c r="G30" s="20">
        <v>0.1</v>
      </c>
      <c r="H30" s="11" t="s">
        <v>218</v>
      </c>
      <c r="I30" s="11" t="s">
        <v>225</v>
      </c>
    </row>
    <row r="31">
      <c r="A31" s="11">
        <v>3.0</v>
      </c>
      <c r="B31" s="11" t="s">
        <v>226</v>
      </c>
      <c r="C31" s="11" t="s">
        <v>214</v>
      </c>
      <c r="D31" s="11" t="s">
        <v>215</v>
      </c>
      <c r="E31" s="11" t="s">
        <v>227</v>
      </c>
      <c r="F31" s="20">
        <v>0.2</v>
      </c>
      <c r="G31" s="20">
        <v>0.2</v>
      </c>
      <c r="H31" s="11" t="s">
        <v>228</v>
      </c>
      <c r="I31" s="11" t="s">
        <v>229</v>
      </c>
    </row>
  </sheetData>
  <mergeCells count="2">
    <mergeCell ref="A1:E1"/>
    <mergeCell ref="A2:E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75"/>
    <col customWidth="1" min="3" max="3" width="28.75"/>
    <col customWidth="1" min="4" max="4" width="35.13"/>
    <col customWidth="1" min="5" max="5" width="33.25"/>
    <col customWidth="1" min="6" max="6" width="27.25"/>
    <col customWidth="1" min="9" max="9" width="11.88"/>
  </cols>
  <sheetData>
    <row r="1">
      <c r="A1" s="1" t="str">
        <f>IFERROR(__xludf.DUMMYFUNCTION("GOOGLETRANSLATE('Indonesia SEOJK 11'!A1,""IN"",""EN"")"),"LIST OF BPR OPERATIONAL LIMITS THAT MAY NOT BE VIOLATED")</f>
        <v>LIST OF BPR OPERATIONAL LIMITS THAT MAY NOT BE VIOLATED</v>
      </c>
    </row>
    <row r="2">
      <c r="A2" s="12" t="str">
        <f>IFERROR(__xludf.DUMMYFUNCTION("GOOGLETRANSLATE('Indonesia SEOJK 11'!A2,""IN"",""EN"")"),"IN ACCORDANCE WITH THE PROVISIONS: SEOJK 11/SEOJK.03/2023 with additional references to important articles from POJK 23/2022 and SEOJK 11/2023 which must be considered by BPR and BPRS so as not to violate the provisions on the maximum credit limit (BMPK) "&amp;"and fund distribution (BMPD)")</f>
        <v>IN ACCORDANCE WITH THE PROVISIONS: SEOJK 11/SEOJK.03/2023 with additional references to important articles from POJK 23/2022 and SEOJK 11/2023 which must be considered by BPR and BPRS so as not to violate the provisions on the maximum credit limit (BMPK) and fund distribution (BMPD)</v>
      </c>
    </row>
    <row r="4" ht="28.5" customHeight="1">
      <c r="A4" s="13" t="s">
        <v>2</v>
      </c>
      <c r="B4" s="13" t="str">
        <f>IFERROR(__xludf.DUMMYFUNCTION("GOOGLETRANSLATE('Indonesia SEOJK 11'!B4,""IN"",""EN"")"),"Operational Limitations")</f>
        <v>Operational Limitations</v>
      </c>
      <c r="C4" s="13" t="str">
        <f>IFERROR(__xludf.DUMMYFUNCTION("GOOGLETRANSLATE('Indonesia SEOJK 11'!C4,""IN"",""EN"")"),"Article Reference")</f>
        <v>Article Reference</v>
      </c>
      <c r="D4" s="13" t="str">
        <f>IFERROR(__xludf.DUMMYFUNCTION("GOOGLETRANSLATE('Indonesia SEOJK 11'!D4,""IN"",""EN"")"),"Limitation Provisions")</f>
        <v>Limitation Provisions</v>
      </c>
      <c r="E4" s="13" t="str">
        <f>IFERROR(__xludf.DUMMYFUNCTION("GOOGLETRANSLATE('Indonesia SEOJK 11'!E4,""IN"",""EN"")"),"Risks / Consequences If Violated")</f>
        <v>Risks / Consequences If Violated</v>
      </c>
    </row>
    <row r="5">
      <c r="A5" s="7">
        <v>1.0</v>
      </c>
      <c r="B5" s="5" t="str">
        <f>IFERROR(__xludf.DUMMYFUNCTION("GOOGLETRANSLATE('Indonesia SEOJK 11'!B5,""IN"",""EN"")"),"Credit to Related Parties")</f>
        <v>Credit to Related Parties</v>
      </c>
      <c r="C5" s="5" t="str">
        <f>IFERROR(__xludf.DUMMYFUNCTION("GOOGLETRANSLATE('Indonesia SEOJK 11'!C5,""IN"",""EN"")"),"Article 8 POJK 23/2022, Lamp. I number 3 SEOJK 11/2023")</f>
        <v>Article 8 POJK 23/2022, Lamp. I number 3 SEOJK 11/2023</v>
      </c>
      <c r="D5" s="5" t="str">
        <f>IFERROR(__xludf.DUMMYFUNCTION("GOOGLETRANSLATE('Indonesia SEOJK 11'!D5,""IN"",""EN"")"),"Max. 10% of BPR capital")</f>
        <v>Max. 10% of BPR capital</v>
      </c>
      <c r="E5" s="5" t="str">
        <f>IFERROR(__xludf.DUMMYFUNCTION("GOOGLETRANSLATE('Indonesia SEOJK 11'!E5,""IN"",""EN"")"),"Conflict of interest, sanctions, GCG score decline")</f>
        <v>Conflict of interest, sanctions, GCG score decline</v>
      </c>
    </row>
    <row r="6">
      <c r="A6" s="7">
        <v>2.0</v>
      </c>
      <c r="B6" s="5" t="str">
        <f>IFERROR(__xludf.DUMMYFUNCTION("GOOGLETRANSLATE('Indonesia SEOJK 11'!B6,""IN"",""EN"")"),"Credit to an Unrelated Party (individual)")</f>
        <v>Credit to an Unrelated Party (individual)</v>
      </c>
      <c r="C6" s="5" t="str">
        <f>IFERROR(__xludf.DUMMYFUNCTION("GOOGLETRANSLATE('Indonesia SEOJK 11'!C6,""IN"",""EN"")"),"Article 6 paragraph (1) letter b POJK 23/2022, Attachment I number 5 SEOJK 11/2023")</f>
        <v>Article 6 paragraph (1) letter b POJK 23/2022, Attachment I number 5 SEOJK 11/2023</v>
      </c>
      <c r="D6" s="5" t="str">
        <f>IFERROR(__xludf.DUMMYFUNCTION("GOOGLETRANSLATE('Indonesia SEOJK 11'!D6,""IN"",""EN"")"),"Max. 20% of BPR capital")</f>
        <v>Max. 20% of BPR capital</v>
      </c>
      <c r="E6" s="5" t="str">
        <f>IFERROR(__xludf.DUMMYFUNCTION("GOOGLETRANSLATE('Indonesia SEOJK 11'!E6,""IN"",""EN"")"),"Credit risk concentration")</f>
        <v>Credit risk concentration</v>
      </c>
    </row>
    <row r="7">
      <c r="A7" s="7">
        <v>3.0</v>
      </c>
      <c r="B7" s="5" t="str">
        <f>IFERROR(__xludf.DUMMYFUNCTION("GOOGLETRANSLATE('Indonesia SEOJK 11'!B7,""IN"",""EN"")"),"Credit to one group of Unrelated Parties")</f>
        <v>Credit to one group of Unrelated Parties</v>
      </c>
      <c r="C7" s="5" t="str">
        <f>IFERROR(__xludf.DUMMYFUNCTION("GOOGLETRANSLATE('Indonesia SEOJK 11'!C7,""IN"",""EN"")"),"Article 6 paragraph (1) letter c POJK 23/2022, Attachment I number 6 SEOJK 11/2023")</f>
        <v>Article 6 paragraph (1) letter c POJK 23/2022, Attachment I number 6 SEOJK 11/2023</v>
      </c>
      <c r="D7" s="5" t="str">
        <f>IFERROR(__xludf.DUMMYFUNCTION("GOOGLETRANSLATE('Indonesia SEOJK 11'!D7,""IN"",""EN"")"),"Max. 30% of BPR capital")</f>
        <v>Max. 30% of BPR capital</v>
      </c>
      <c r="E7" s="5" t="str">
        <f>IFERROR(__xludf.DUMMYFUNCTION("GOOGLETRANSLATE('Indonesia SEOJK 11'!E7,""IN"",""EN"")"),"Systemic risk if the group is in trouble")</f>
        <v>Systemic risk if the group is in trouble</v>
      </c>
    </row>
    <row r="8">
      <c r="A8" s="7">
        <v>4.0</v>
      </c>
      <c r="B8" s="5" t="str">
        <f>IFERROR(__xludf.DUMMYFUNCTION("GOOGLETRANSLATE('Indonesia SEOJK 11'!B8,""IN"",""EN"")"),"Placement of Funds Between BPR/BPRS Unrelated Parties")</f>
        <v>Placement of Funds Between BPR/BPRS Unrelated Parties</v>
      </c>
      <c r="C8" s="5" t="str">
        <f>IFERROR(__xludf.DUMMYFUNCTION("GOOGLETRANSLATE('Indonesia SEOJK 11'!C8,""IN"",""EN"")"),"Article 7 paragraph (1) letter b POJK 23/2022, Attachment I number 4 SEOJK 11/2023")</f>
        <v>Article 7 paragraph (1) letter b POJK 23/2022, Attachment I number 4 SEOJK 11/2023</v>
      </c>
      <c r="D8" s="5" t="str">
        <f>IFERROR(__xludf.DUMMYFUNCTION("GOOGLETRANSLATE('Indonesia SEOJK 11'!D8,""IN"",""EN"")"),"Max. 20% of BPR capital")</f>
        <v>Max. 20% of BPR capital</v>
      </c>
      <c r="E8" s="5" t="str">
        <f>IFERROR(__xludf.DUMMYFUNCTION("GOOGLETRANSLATE('Indonesia SEOJK 11'!E8,""IN"",""EN"")"),"Liquidity &amp; interconnection risk")</f>
        <v>Liquidity &amp; interconnection risk</v>
      </c>
    </row>
    <row r="9">
      <c r="A9" s="7">
        <v>5.0</v>
      </c>
      <c r="B9" s="5" t="str">
        <f>IFERROR(__xludf.DUMMYFUNCTION("GOOGLETRANSLATE('Indonesia SEOJK 11'!B9,""IN"",""EN"")"),"Funds to address other BPR liquidity issues")</f>
        <v>Funds to address other BPR liquidity issues</v>
      </c>
      <c r="C9" s="5" t="str">
        <f>IFERROR(__xludf.DUMMYFUNCTION("GOOGLETRANSLATE('Indonesia SEOJK 11'!C9,""IN"",""EN"")"),"Article 29 POJK 23/2022, Chapter VII SEOJK 11/2023")</f>
        <v>Article 29 POJK 23/2022, Chapter VII SEOJK 11/2023</v>
      </c>
      <c r="D9" s="5" t="str">
        <f>IFERROR(__xludf.DUMMYFUNCTION("GOOGLETRANSLATE('Indonesia SEOJK 11'!D9,""IN"",""EN"")"),"Max 30% of capital")</f>
        <v>Max 30% of capital</v>
      </c>
      <c r="E9" s="5" t="str">
        <f>IFERROR(__xludf.DUMMYFUNCTION("GOOGLETRANSLATE('Indonesia SEOJK 11'!E9,""IN"",""EN"")"),"If it exceeds it is considered a violation")</f>
        <v>If it exceeds it is considered a violation</v>
      </c>
    </row>
    <row r="10">
      <c r="A10" s="7">
        <v>6.0</v>
      </c>
      <c r="B10" s="5" t="str">
        <f>IFERROR(__xludf.DUMMYFUNCTION("GOOGLETRANSLATE('Indonesia SEOJK 11'!B10,""IN"",""EN"")"),"Contracts that exceed BMPK")</f>
        <v>Contracts that exceed BMPK</v>
      </c>
      <c r="C10" s="5" t="str">
        <f>IFERROR(__xludf.DUMMYFUNCTION("GOOGLETRANSLATE('Indonesia SEOJK 11'!C10,""IN"",""EN"")"),"Article 3 paragraph (1) POJK 23/2022, Attachment I number 1 letters c-d SEOJK 11/2023")</f>
        <v>Article 3 paragraph (1) POJK 23/2022, Attachment I number 1 letters c-d SEOJK 11/2023</v>
      </c>
      <c r="D10" s="5" t="str">
        <f>IFERROR(__xludf.DUMMYFUNCTION("GOOGLETRANSLATE('Indonesia SEOJK 11'!D10,""IN"",""EN"")"),"It is prohibited to make agreements that violate BMPK")</f>
        <v>It is prohibited to make agreements that violate BMPK</v>
      </c>
      <c r="E10" s="5" t="str">
        <f>IFERROR(__xludf.DUMMYFUNCTION("GOOGLETRANSLATE('Indonesia SEOJK 11'!E10,""IN"",""EN"")"),"Declared a violation of BMPK even though it has not been disbursed")</f>
        <v>Declared a violation of BMPK even though it has not been disbursed</v>
      </c>
    </row>
    <row r="11">
      <c r="A11" s="7">
        <v>7.0</v>
      </c>
      <c r="B11" s="5" t="str">
        <f>IFERROR(__xludf.DUMMYFUNCTION("GOOGLETRANSLATE('Indonesia SEOJK 11'!B11,""IN"",""EN"")"),"Determination of borrower groups")</f>
        <v>Determination of borrower groups</v>
      </c>
      <c r="C11" s="5" t="str">
        <f>IFERROR(__xludf.DUMMYFUNCTION("GOOGLETRANSLATE('Indonesia SEOJK 11'!C11,""IN"",""EN"")"),"Article 12 POJK 23/2022, Chapter III SEOJK 11/2023")</f>
        <v>Article 12 POJK 23/2022, Chapter III SEOJK 11/2023</v>
      </c>
      <c r="D11" s="5" t="str">
        <f>IFERROR(__xludf.DUMMYFUNCTION("GOOGLETRANSLATE('Indonesia SEOJK 11'!D11,""IN"",""EN"")"),"The relationship between ownership, management and finances must be seen")</f>
        <v>The relationship between ownership, management and finances must be seen</v>
      </c>
      <c r="E11" s="5" t="str">
        <f>IFERROR(__xludf.DUMMYFUNCTION("GOOGLETRANSLATE('Indonesia SEOJK 11'!E11,""IN"",""EN"")"),"Misclassification → violation not detected")</f>
        <v>Misclassification → violation not detected</v>
      </c>
    </row>
    <row r="12">
      <c r="A12" s="7">
        <v>8.0</v>
      </c>
      <c r="B12" s="5" t="str">
        <f>IFERROR(__xludf.DUMMYFUNCTION("GOOGLETRANSLATE('Indonesia SEOJK 11'!B12,""IN"",""EN"")"),"Exceeding BMPK due to changes in capital/structure")</f>
        <v>Exceeding BMPK due to changes in capital/structure</v>
      </c>
      <c r="C12" s="5" t="str">
        <f>IFERROR(__xludf.DUMMYFUNCTION("GOOGLETRANSLATE('Indonesia SEOJK 11'!C12,""IN"",""EN"")"),"Article 33 POJK 23/2022, Chapter VI SEOJK 11/2023")</f>
        <v>Article 33 POJK 23/2022, Chapter VI SEOJK 11/2023</v>
      </c>
      <c r="D12" s="5" t="str">
        <f>IFERROR(__xludf.DUMMYFUNCTION("GOOGLETRANSLATE('Indonesia SEOJK 11'!D12,""IN"",""EN"")"),"Must be recorded as an excess, not a violation")</f>
        <v>Must be recorded as an excess, not a violation</v>
      </c>
      <c r="E12" s="5" t="str">
        <f>IFERROR(__xludf.DUMMYFUNCTION("GOOGLETRANSLATE('Indonesia SEOJK 11'!E12,""IN"",""EN"")"),"Must be completed according to the provisions")</f>
        <v>Must be completed according to the provisions</v>
      </c>
    </row>
    <row r="13">
      <c r="A13" s="7">
        <v>9.0</v>
      </c>
      <c r="B13" s="5" t="str">
        <f>IFERROR(__xludf.DUMMYFUNCTION("GOOGLETRANSLATE('Indonesia SEOJK 11'!B13,""IN"",""EN"")"),"Withdrawal &amp; gradual disbursement facility")</f>
        <v>Withdrawal &amp; gradual disbursement facility</v>
      </c>
      <c r="C13" s="5" t="str">
        <f>IFERROR(__xludf.DUMMYFUNCTION("GOOGLETRANSLATE('Indonesia SEOJK 11'!C13,""IN"",""EN"")"),"SEOJK 11/2023 Attachment I number 1 letter d, number 6 letters d-e")</f>
        <v>SEOJK 11/2023 Attachment I number 1 letter d, number 6 letters d-e</v>
      </c>
      <c r="D13" s="5" t="str">
        <f>IFERROR(__xludf.DUMMYFUNCTION("GOOGLETRANSLATE('Indonesia SEOJK 11'!D13,""IN"",""EN"")"),"Must ensure that it does not cause any violations during implementation")</f>
        <v>Must ensure that it does not cause any violations during implementation</v>
      </c>
      <c r="E13" s="5" t="str">
        <f>IFERROR(__xludf.DUMMYFUNCTION("GOOGLETRANSLATE('Indonesia SEOJK 11'!E13,""IN"",""EN"")"),"Gradual realization continues to be monitored in terms of BMPK")</f>
        <v>Gradual realization continues to be monitored in terms of BMPK</v>
      </c>
    </row>
    <row r="14">
      <c r="A14" s="7">
        <v>10.0</v>
      </c>
      <c r="B14" s="5" t="str">
        <f>IFERROR(__xludf.DUMMYFUNCTION("GOOGLETRANSLATE('Indonesia SEOJK 11'!B14,""IN"",""EN"")"),"Obligation to report to OJK")</f>
        <v>Obligation to report to OJK</v>
      </c>
      <c r="C14" s="5" t="str">
        <f>IFERROR(__xludf.DUMMYFUNCTION("GOOGLETRANSLATE('Indonesia SEOJK 11'!C14,""IN"",""EN"")"),"Article 30 POJK 23/2022, Chapter VIII SEOJK 11/2023")</f>
        <v>Article 30 POJK 23/2022, Chapter VIII SEOJK 11/2023</v>
      </c>
      <c r="D14" s="5" t="str">
        <f>IFERROR(__xludf.DUMMYFUNCTION("GOOGLETRANSLATE('Indonesia SEOJK 11'!D14,""IN"",""EN"")"),"Reported monthly via the OJK reporting system")</f>
        <v>Reported monthly via the OJK reporting system</v>
      </c>
      <c r="E14" s="5" t="str">
        <f>IFERROR(__xludf.DUMMYFUNCTION("GOOGLETRANSLATE('Indonesia SEOJK 11'!E14,""IN"",""EN"")"),"Delay → administrative sanctions")</f>
        <v>Delay → administrative sanctions</v>
      </c>
    </row>
    <row r="17">
      <c r="A17" s="14" t="str">
        <f>IFERROR(__xludf.DUMMYFUNCTION("GOOGLETRANSLATE('Indonesia SEOJK 11'!A17,""IN"",""EN"")"),"SEOJK11 OBLIGATION MONITORING MECHANISM")</f>
        <v>SEOJK11 OBLIGATION MONITORING MECHANISM</v>
      </c>
    </row>
    <row r="19" ht="22.5" customHeight="1">
      <c r="A19" s="15" t="s">
        <v>43</v>
      </c>
      <c r="B19" s="13" t="str">
        <f>IFERROR(__xludf.DUMMYFUNCTION("GOOGLETRANSLATE('Indonesia SEOJK 11'!B19,""IN"",""EN"")"),"Supervision Aspects")</f>
        <v>Supervision Aspects</v>
      </c>
      <c r="C19" s="13" t="str">
        <f>IFERROR(__xludf.DUMMYFUNCTION("GOOGLETRANSLATE('Indonesia SEOJK 11'!C19,""IN"",""EN"")"),"Maximum Value (%)")</f>
        <v>Maximum Value (%)</v>
      </c>
      <c r="D19" s="13" t="str">
        <f>IFERROR(__xludf.DUMMYFUNCTION("GOOGLETRANSLATE('Indonesia SEOJK 11'!D19,""IN"",""EN"")"),"Actual Value (%)")</f>
        <v>Actual Value (%)</v>
      </c>
      <c r="E19" s="13" t="str">
        <f>IFERROR(__xludf.DUMMYFUNCTION("GOOGLETRANSLATE('Indonesia SEOJK 11'!E19,""IN"",""EN"")"),"Status")</f>
        <v>Status</v>
      </c>
      <c r="F19" s="13" t="str">
        <f>IFERROR(__xludf.DUMMYFUNCTION("GOOGLETRANSLATE('Indonesia SEOJK 11'!F19,""IN"",""EN"")"),"Action")</f>
        <v>Action</v>
      </c>
    </row>
    <row r="20">
      <c r="A20" s="11">
        <v>1.0</v>
      </c>
      <c r="B20" s="11" t="str">
        <f>IFERROR(__xludf.DUMMYFUNCTION("GOOGLETRANSLATE('Indonesia SEOJK 11'!B20,""IN"",""EN"")"),"Credit to Related Parties")</f>
        <v>Credit to Related Parties</v>
      </c>
      <c r="C20" s="20">
        <v>0.1</v>
      </c>
      <c r="D20" s="21" t="str">
        <f>IFERROR(__xludf.DUMMYFUNCTION("GOOGLETRANSLATE('Indonesia SEOJK 11'!D20,""IN"",""EN"")"),"[Contents]")</f>
        <v>[Contents]</v>
      </c>
      <c r="E20" s="11" t="str">
        <f>IFERROR(__xludf.DUMMYFUNCTION("GOOGLETRANSLATE('Indonesia SEOJK 11'!E20,""IN"",""EN"")"),"OK / Violation")</f>
        <v>OK / Violation</v>
      </c>
      <c r="F20" s="21" t="str">
        <f>IFERROR(__xludf.DUMMYFUNCTION("GOOGLETRANSLATE('Indonesia SEOJK 11'!F20,""IN"",""EN"")"),"[Contents]")</f>
        <v>[Contents]</v>
      </c>
    </row>
    <row r="21">
      <c r="A21" s="11">
        <v>2.0</v>
      </c>
      <c r="B21" s="11" t="str">
        <f>IFERROR(__xludf.DUMMYFUNCTION("GOOGLETRANSLATE('Indonesia SEOJK 11'!B21,""IN"",""EN"")"),"Credit to Unrelated Parties (individuals)")</f>
        <v>Credit to Unrelated Parties (individuals)</v>
      </c>
      <c r="C21" s="20">
        <v>0.2</v>
      </c>
      <c r="D21" s="21" t="str">
        <f>IFERROR(__xludf.DUMMYFUNCTION("GOOGLETRANSLATE('Indonesia SEOJK 11'!D21,""IN"",""EN"")"),"[Contents]")</f>
        <v>[Contents]</v>
      </c>
      <c r="E21" s="11" t="str">
        <f>IFERROR(__xludf.DUMMYFUNCTION("GOOGLETRANSLATE('Indonesia SEOJK 11'!E21,""IN"",""EN"")"),"OK / Violation")</f>
        <v>OK / Violation</v>
      </c>
      <c r="F21" s="21" t="str">
        <f>IFERROR(__xludf.DUMMYFUNCTION("GOOGLETRANSLATE('Indonesia SEOJK 11'!F21,""IN"",""EN"")"),"[Contents]")</f>
        <v>[Contents]</v>
      </c>
    </row>
    <row r="22">
      <c r="A22" s="11">
        <v>3.0</v>
      </c>
      <c r="B22" s="11" t="str">
        <f>IFERROR(__xludf.DUMMYFUNCTION("GOOGLETRANSLATE('Indonesia SEOJK 11'!B22,""IN"",""EN"")"),"Credit to Unrelated Party Group")</f>
        <v>Credit to Unrelated Party Group</v>
      </c>
      <c r="C22" s="20">
        <v>0.3</v>
      </c>
      <c r="D22" s="21" t="str">
        <f>IFERROR(__xludf.DUMMYFUNCTION("GOOGLETRANSLATE('Indonesia SEOJK 11'!D22,""IN"",""EN"")"),"[Contents]")</f>
        <v>[Contents]</v>
      </c>
      <c r="E22" s="11" t="str">
        <f>IFERROR(__xludf.DUMMYFUNCTION("GOOGLETRANSLATE('Indonesia SEOJK 11'!E22,""IN"",""EN"")"),"OK / Violation")</f>
        <v>OK / Violation</v>
      </c>
      <c r="F22" s="21" t="str">
        <f>IFERROR(__xludf.DUMMYFUNCTION("GOOGLETRANSLATE('Indonesia SEOJK 11'!F22,""IN"",""EN"")"),"[Contents]")</f>
        <v>[Contents]</v>
      </c>
    </row>
    <row r="23">
      <c r="A23" s="11">
        <v>4.0</v>
      </c>
      <c r="B23" s="11" t="str">
        <f>IFERROR(__xludf.DUMMYFUNCTION("GOOGLETRANSLATE('Indonesia SEOJK 11'!B23,""IN"",""EN"")"),"Placement of Funds Between Unrelated BPR/BPRS")</f>
        <v>Placement of Funds Between Unrelated BPR/BPRS</v>
      </c>
      <c r="C23" s="20">
        <v>0.2</v>
      </c>
      <c r="D23" s="21" t="str">
        <f>IFERROR(__xludf.DUMMYFUNCTION("GOOGLETRANSLATE('Indonesia SEOJK 11'!D23,""IN"",""EN"")"),"[Contents]")</f>
        <v>[Contents]</v>
      </c>
      <c r="E23" s="11" t="str">
        <f>IFERROR(__xludf.DUMMYFUNCTION("GOOGLETRANSLATE('Indonesia SEOJK 11'!E23,""IN"",""EN"")"),"OK / Violation")</f>
        <v>OK / Violation</v>
      </c>
      <c r="F23" s="21" t="str">
        <f>IFERROR(__xludf.DUMMYFUNCTION("GOOGLETRANSLATE('Indonesia SEOJK 11'!F23,""IN"",""EN"")"),"[Contents]")</f>
        <v>[Contents]</v>
      </c>
    </row>
    <row r="24">
      <c r="A24" s="4">
        <v>5.0</v>
      </c>
      <c r="B24" s="11" t="str">
        <f>IFERROR(__xludf.DUMMYFUNCTION("GOOGLETRANSLATE('Indonesia SEOJK 11'!B24,""IN"",""EN"")"),"Liquidity Fund Placement")</f>
        <v>Liquidity Fund Placement</v>
      </c>
      <c r="C24" s="20">
        <v>0.3</v>
      </c>
      <c r="D24" s="21" t="str">
        <f>IFERROR(__xludf.DUMMYFUNCTION("GOOGLETRANSLATE('Indonesia SEOJK 11'!D24,""IN"",""EN"")"),"[Contents]")</f>
        <v>[Contents]</v>
      </c>
      <c r="E24" s="11" t="str">
        <f>IFERROR(__xludf.DUMMYFUNCTION("GOOGLETRANSLATE('Indonesia SEOJK 11'!E24,""IN"",""EN"")"),"OK / Violation")</f>
        <v>OK / Violation</v>
      </c>
      <c r="F24" s="21" t="str">
        <f>IFERROR(__xludf.DUMMYFUNCTION("GOOGLETRANSLATE('Indonesia SEOJK 11'!F24,""IN"",""EN"")"),"[Contents]")</f>
        <v>[Contents]</v>
      </c>
    </row>
    <row r="26">
      <c r="A26" s="14" t="str">
        <f>IFERROR(__xludf.DUMMYFUNCTION("GOOGLETRANSLATE('Indonesia SEOJK 11'!A26,""IN"",""EN"")"),"SEOJK OBLIGATION MONITORING TABLE EXAMPLE 11")</f>
        <v>SEOJK OBLIGATION MONITORING TABLE EXAMPLE 11</v>
      </c>
    </row>
    <row r="28">
      <c r="A28" s="22" t="s">
        <v>2</v>
      </c>
      <c r="B28" s="15" t="str">
        <f>IFERROR(__xludf.DUMMYFUNCTION("GOOGLETRANSLATE('Indonesia SEOJK 11'!B28,""IN"",""EN"")"),"Borrower Name / BPR")</f>
        <v>Borrower Name / BPR</v>
      </c>
      <c r="C28" s="15" t="str">
        <f>IFERROR(__xludf.DUMMYFUNCTION("GOOGLETRANSLATE('Indonesia SEOJK 11'!C28,""IN"",""EN"")"),"Related / Not Related")</f>
        <v>Related / Not Related</v>
      </c>
      <c r="D28" s="15" t="str">
        <f>IFERROR(__xludf.DUMMYFUNCTION("GOOGLETRANSLATE('Indonesia SEOJK 11'!D28,""IN"",""EN"")"),"Individual / Group")</f>
        <v>Individual / Group</v>
      </c>
      <c r="E28" s="15" t="str">
        <f>IFERROR(__xludf.DUMMYFUNCTION("GOOGLETRANSLATE('Indonesia SEOJK 11'!E28,""IN"",""EN"")"),"Facility Value (Rp)")</f>
        <v>Facility Value (Rp)</v>
      </c>
      <c r="F28" s="15" t="str">
        <f>IFERROR(__xludf.DUMMYFUNCTION("GOOGLETRANSLATE('Indonesia SEOJK 11'!F28,""IN"",""EN"")"),"Percentage to Capital (%)")</f>
        <v>Percentage to Capital (%)</v>
      </c>
      <c r="G28" s="15" t="str">
        <f>IFERROR(__xludf.DUMMYFUNCTION("GOOGLETRANSLATE('Indonesia SEOJK 11'!G28,""IN"",""EN"")"),"Maximum Limit (%)")</f>
        <v>Maximum Limit (%)</v>
      </c>
      <c r="H28" s="15" t="str">
        <f>IFERROR(__xludf.DUMMYFUNCTION("GOOGLETRANSLATE('Indonesia SEOJK 11'!H28,""IN"",""EN"")"),"Status")</f>
        <v>Status</v>
      </c>
      <c r="I28" s="15" t="str">
        <f>IFERROR(__xludf.DUMMYFUNCTION("GOOGLETRANSLATE('Indonesia SEOJK 11'!I28,""IN"",""EN"")"),"References")</f>
        <v>References</v>
      </c>
    </row>
    <row r="29">
      <c r="A29" s="11">
        <v>1.0</v>
      </c>
      <c r="B29" s="11" t="str">
        <f>IFERROR(__xludf.DUMMYFUNCTION("GOOGLETRANSLATE('Indonesia SEOJK 11'!B29,""IN"",""EN"")"),"ABC Company")</f>
        <v>ABC Company</v>
      </c>
      <c r="C29" s="11" t="str">
        <f>IFERROR(__xludf.DUMMYFUNCTION("GOOGLETRANSLATE('Indonesia SEOJK 11'!C29,""IN"",""EN"")"),"Not Related")</f>
        <v>Not Related</v>
      </c>
      <c r="D29" s="11" t="str">
        <f>IFERROR(__xludf.DUMMYFUNCTION("GOOGLETRANSLATE('Indonesia SEOJK 11'!D29,""IN"",""EN"")"),"Individual")</f>
        <v>Individual</v>
      </c>
      <c r="E29" s="11" t="str">
        <f>IFERROR(__xludf.DUMMYFUNCTION("GOOGLETRANSLATE('Indonesia SEOJK 11'!E29,""IN"",""EN"")"),"1,800,000,000")</f>
        <v>1,800,000,000</v>
      </c>
      <c r="F29" s="11" t="str">
        <f>IFERROR(__xludf.DUMMYFUNCTION("GOOGLETRANSLATE('Indonesia SEOJK 11'!F29,""IN"",""EN"")"),"22.5%")</f>
        <v>22.5%</v>
      </c>
      <c r="G29" s="11" t="str">
        <f>IFERROR(__xludf.DUMMYFUNCTION("GOOGLETRANSLATE('Indonesia SEOJK 11'!G29,""IN"",""EN"")"),"20%")</f>
        <v>20%</v>
      </c>
      <c r="H29" s="11" t="str">
        <f>IFERROR(__xludf.DUMMYFUNCTION("GOOGLETRANSLATE('Indonesia SEOJK 11'!H29,""IN"",""EN"")"),"⚠️ Violation")</f>
        <v>⚠️ Violation</v>
      </c>
      <c r="I29" s="11" t="str">
        <f>IFERROR(__xludf.DUMMYFUNCTION("GOOGLETRANSLATE('Indonesia SEOJK 11'!I29,""IN"",""EN"")"),"Article 6 POJK 23/2022")</f>
        <v>Article 6 POJK 23/2022</v>
      </c>
    </row>
    <row r="30">
      <c r="A30" s="11">
        <v>2.0</v>
      </c>
      <c r="B30" s="11" t="str">
        <f>IFERROR(__xludf.DUMMYFUNCTION("GOOGLETRANSLATE('Indonesia SEOJK 11'!B30,""IN"",""EN"")"),"Mr. A's Family")</f>
        <v>Mr. A's Family</v>
      </c>
      <c r="C30" s="11" t="str">
        <f>IFERROR(__xludf.DUMMYFUNCTION("GOOGLETRANSLATE('Indonesia SEOJK 11'!C30,""IN"",""EN"")"),"Related")</f>
        <v>Related</v>
      </c>
      <c r="D30" s="11" t="str">
        <f>IFERROR(__xludf.DUMMYFUNCTION("GOOGLETRANSLATE('Indonesia SEOJK 11'!D30,""IN"",""EN"")"),"Group")</f>
        <v>Group</v>
      </c>
      <c r="E30" s="11" t="str">
        <f>IFERROR(__xludf.DUMMYFUNCTION("GOOGLETRANSLATE('Indonesia SEOJK 11'!E30,""IN"",""EN"")"),"750,000,000")</f>
        <v>750,000,000</v>
      </c>
      <c r="F30" s="11" t="str">
        <f>IFERROR(__xludf.DUMMYFUNCTION("GOOGLETRANSLATE('Indonesia SEOJK 11'!F30,""IN"",""EN"")"),"12.5%")</f>
        <v>12.5%</v>
      </c>
      <c r="G30" s="11" t="str">
        <f>IFERROR(__xludf.DUMMYFUNCTION("GOOGLETRANSLATE('Indonesia SEOJK 11'!G30,""IN"",""EN"")"),"10%")</f>
        <v>10%</v>
      </c>
      <c r="H30" s="11" t="str">
        <f>IFERROR(__xludf.DUMMYFUNCTION("GOOGLETRANSLATE('Indonesia SEOJK 11'!H30,""IN"",""EN"")"),"⚠️ Violation")</f>
        <v>⚠️ Violation</v>
      </c>
      <c r="I30" s="11" t="str">
        <f>IFERROR(__xludf.DUMMYFUNCTION("GOOGLETRANSLATE('Indonesia SEOJK 11'!I30,""IN"",""EN"")"),"Article 8 POJK 23/2022")</f>
        <v>Article 8 POJK 23/2022</v>
      </c>
    </row>
    <row r="31">
      <c r="A31" s="11">
        <v>3.0</v>
      </c>
      <c r="B31" s="11" t="str">
        <f>IFERROR(__xludf.DUMMYFUNCTION("GOOGLETRANSLATE('Indonesia SEOJK 11'!B31,""IN"",""EN"")"),"XYZ Bank")</f>
        <v>XYZ Bank</v>
      </c>
      <c r="C31" s="11" t="str">
        <f>IFERROR(__xludf.DUMMYFUNCTION("GOOGLETRANSLATE('Indonesia SEOJK 11'!C31,""IN"",""EN"")"),"Not Related")</f>
        <v>Not Related</v>
      </c>
      <c r="D31" s="11" t="str">
        <f>IFERROR(__xludf.DUMMYFUNCTION("GOOGLETRANSLATE('Indonesia SEOJK 11'!D31,""IN"",""EN"")"),"Individual")</f>
        <v>Individual</v>
      </c>
      <c r="E31" s="11" t="str">
        <f>IFERROR(__xludf.DUMMYFUNCTION("GOOGLETRANSLATE('Indonesia SEOJK 11'!E31,""IN"",""EN"")"),"1,600,000,000")</f>
        <v>1,600,000,000</v>
      </c>
      <c r="F31" s="11" t="str">
        <f>IFERROR(__xludf.DUMMYFUNCTION("GOOGLETRANSLATE('Indonesia SEOJK 11'!F31,""IN"",""EN"")"),"20%")</f>
        <v>20%</v>
      </c>
      <c r="G31" s="11" t="str">
        <f>IFERROR(__xludf.DUMMYFUNCTION("GOOGLETRANSLATE('Indonesia SEOJK 11'!G31,""IN"",""EN"")"),"20%")</f>
        <v>20%</v>
      </c>
      <c r="H31" s="11" t="str">
        <f>IFERROR(__xludf.DUMMYFUNCTION("GOOGLETRANSLATE('Indonesia SEOJK 11'!H31,""IN"",""EN"")"),"✅ Appropriate")</f>
        <v>✅ Appropriate</v>
      </c>
      <c r="I31" s="11" t="str">
        <f>IFERROR(__xludf.DUMMYFUNCTION("GOOGLETRANSLATE('Indonesia SEOJK 11'!I31,""IN"",""EN"")"),"Article 7 POJK 23/2022")</f>
        <v>Article 7 POJK 23/2022</v>
      </c>
    </row>
  </sheetData>
  <mergeCells count="4">
    <mergeCell ref="A1:E1"/>
    <mergeCell ref="A2:E2"/>
    <mergeCell ref="A17:E17"/>
    <mergeCell ref="A26:E2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75"/>
    <col customWidth="1" min="3" max="3" width="28.75"/>
    <col customWidth="1" min="4" max="4" width="35.13"/>
    <col customWidth="1" min="5" max="5" width="33.25"/>
    <col customWidth="1" min="6" max="6" width="27.25"/>
    <col customWidth="1" min="9" max="9" width="11.88"/>
  </cols>
  <sheetData>
    <row r="1">
      <c r="A1" s="1" t="s">
        <v>0</v>
      </c>
    </row>
    <row r="2">
      <c r="A2" s="16" t="s">
        <v>230</v>
      </c>
    </row>
    <row r="4" ht="28.5" customHeight="1">
      <c r="A4" s="13" t="s">
        <v>2</v>
      </c>
      <c r="B4" s="13" t="s">
        <v>3</v>
      </c>
      <c r="C4" s="13" t="s">
        <v>4</v>
      </c>
      <c r="D4" s="13" t="s">
        <v>155</v>
      </c>
      <c r="E4" s="13" t="s">
        <v>5</v>
      </c>
    </row>
    <row r="5">
      <c r="A5" s="11">
        <v>1.0</v>
      </c>
      <c r="B5" s="5" t="s">
        <v>231</v>
      </c>
      <c r="C5" s="5" t="s">
        <v>232</v>
      </c>
      <c r="D5" s="5" t="s">
        <v>233</v>
      </c>
      <c r="E5" s="5" t="s">
        <v>234</v>
      </c>
    </row>
    <row r="6">
      <c r="A6" s="11">
        <v>2.0</v>
      </c>
      <c r="B6" s="5" t="s">
        <v>235</v>
      </c>
      <c r="C6" s="5" t="s">
        <v>236</v>
      </c>
      <c r="D6" s="5" t="s">
        <v>237</v>
      </c>
      <c r="E6" s="5" t="s">
        <v>238</v>
      </c>
    </row>
    <row r="7">
      <c r="A7" s="11">
        <v>3.0</v>
      </c>
      <c r="B7" s="5" t="s">
        <v>239</v>
      </c>
      <c r="C7" s="5" t="s">
        <v>240</v>
      </c>
      <c r="D7" s="5" t="s">
        <v>241</v>
      </c>
      <c r="E7" s="5" t="s">
        <v>242</v>
      </c>
    </row>
    <row r="8">
      <c r="A8" s="11">
        <v>4.0</v>
      </c>
      <c r="B8" s="5" t="s">
        <v>243</v>
      </c>
      <c r="C8" s="5" t="s">
        <v>244</v>
      </c>
      <c r="D8" s="5" t="s">
        <v>245</v>
      </c>
      <c r="E8" s="5" t="s">
        <v>246</v>
      </c>
    </row>
    <row r="9">
      <c r="A9" s="11">
        <v>5.0</v>
      </c>
      <c r="B9" s="5" t="s">
        <v>247</v>
      </c>
      <c r="C9" s="5" t="s">
        <v>244</v>
      </c>
      <c r="D9" s="5" t="s">
        <v>248</v>
      </c>
      <c r="E9" s="5" t="s">
        <v>249</v>
      </c>
    </row>
    <row r="10">
      <c r="A10" s="11">
        <v>6.0</v>
      </c>
      <c r="B10" s="5" t="s">
        <v>250</v>
      </c>
      <c r="C10" s="5" t="s">
        <v>251</v>
      </c>
      <c r="D10" s="5" t="s">
        <v>252</v>
      </c>
      <c r="E10" s="5" t="s">
        <v>253</v>
      </c>
    </row>
    <row r="11">
      <c r="A11" s="11">
        <v>7.0</v>
      </c>
      <c r="B11" s="5" t="s">
        <v>254</v>
      </c>
      <c r="C11" s="5" t="s">
        <v>255</v>
      </c>
      <c r="D11" s="5" t="s">
        <v>256</v>
      </c>
      <c r="E11" s="5" t="s">
        <v>257</v>
      </c>
    </row>
    <row r="12">
      <c r="A12" s="11">
        <v>8.0</v>
      </c>
      <c r="B12" s="5" t="s">
        <v>258</v>
      </c>
      <c r="C12" s="5" t="s">
        <v>259</v>
      </c>
      <c r="D12" s="5" t="s">
        <v>260</v>
      </c>
      <c r="E12" s="5" t="s">
        <v>261</v>
      </c>
    </row>
    <row r="13">
      <c r="A13" s="11">
        <v>9.0</v>
      </c>
      <c r="B13" s="5" t="s">
        <v>262</v>
      </c>
      <c r="C13" s="5" t="s">
        <v>263</v>
      </c>
      <c r="D13" s="5" t="s">
        <v>264</v>
      </c>
      <c r="E13" s="5" t="s">
        <v>265</v>
      </c>
    </row>
    <row r="16">
      <c r="A16" s="2" t="s">
        <v>195</v>
      </c>
    </row>
    <row r="18" ht="22.5" customHeight="1">
      <c r="A18" s="15" t="s">
        <v>43</v>
      </c>
      <c r="B18" s="17" t="s">
        <v>125</v>
      </c>
      <c r="C18" s="17" t="s">
        <v>197</v>
      </c>
      <c r="D18" s="17" t="s">
        <v>266</v>
      </c>
      <c r="E18" s="17" t="s">
        <v>113</v>
      </c>
      <c r="F18" s="17" t="s">
        <v>198</v>
      </c>
    </row>
    <row r="19">
      <c r="A19" s="11">
        <v>1.0</v>
      </c>
      <c r="B19" s="8" t="s">
        <v>267</v>
      </c>
      <c r="C19" s="8" t="s">
        <v>268</v>
      </c>
      <c r="D19" s="8" t="s">
        <v>269</v>
      </c>
      <c r="E19" s="8" t="s">
        <v>270</v>
      </c>
      <c r="F19" s="23"/>
    </row>
    <row r="20">
      <c r="A20" s="11">
        <v>2.0</v>
      </c>
      <c r="B20" s="8" t="s">
        <v>271</v>
      </c>
      <c r="C20" s="8" t="s">
        <v>272</v>
      </c>
      <c r="D20" s="8" t="s">
        <v>273</v>
      </c>
      <c r="E20" s="8" t="s">
        <v>270</v>
      </c>
      <c r="F20" s="23"/>
    </row>
    <row r="21">
      <c r="A21" s="11">
        <v>3.0</v>
      </c>
      <c r="B21" s="8" t="s">
        <v>274</v>
      </c>
      <c r="C21" s="8" t="s">
        <v>272</v>
      </c>
      <c r="D21" s="8" t="s">
        <v>275</v>
      </c>
      <c r="E21" s="8" t="s">
        <v>270</v>
      </c>
      <c r="F21" s="23"/>
    </row>
    <row r="22">
      <c r="A22" s="11">
        <v>4.0</v>
      </c>
      <c r="B22" s="8" t="s">
        <v>276</v>
      </c>
      <c r="C22" s="8" t="s">
        <v>268</v>
      </c>
      <c r="D22" s="8" t="s">
        <v>277</v>
      </c>
      <c r="E22" s="8" t="s">
        <v>270</v>
      </c>
      <c r="F22" s="23"/>
    </row>
    <row r="23">
      <c r="A23" s="4">
        <v>5.0</v>
      </c>
      <c r="B23" s="8" t="s">
        <v>278</v>
      </c>
      <c r="C23" s="8" t="s">
        <v>268</v>
      </c>
      <c r="D23" s="8" t="s">
        <v>279</v>
      </c>
      <c r="E23" s="8" t="s">
        <v>280</v>
      </c>
      <c r="F23" s="23"/>
    </row>
    <row r="24">
      <c r="A24" s="4">
        <v>6.0</v>
      </c>
      <c r="B24" s="8" t="s">
        <v>281</v>
      </c>
      <c r="C24" s="8" t="s">
        <v>268</v>
      </c>
      <c r="D24" s="8" t="s">
        <v>279</v>
      </c>
      <c r="E24" s="8" t="s">
        <v>280</v>
      </c>
      <c r="F24" s="24"/>
    </row>
    <row r="25">
      <c r="A25" s="4">
        <v>7.0</v>
      </c>
      <c r="B25" s="8" t="s">
        <v>282</v>
      </c>
      <c r="C25" s="8" t="s">
        <v>268</v>
      </c>
      <c r="D25" s="8" t="s">
        <v>283</v>
      </c>
      <c r="E25" s="8" t="s">
        <v>284</v>
      </c>
      <c r="F25" s="24"/>
    </row>
  </sheetData>
  <mergeCells count="2">
    <mergeCell ref="A2:E2"/>
    <mergeCell ref="A1:E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75"/>
    <col customWidth="1" min="3" max="3" width="28.75"/>
    <col customWidth="1" min="4" max="4" width="35.13"/>
    <col customWidth="1" min="5" max="5" width="33.25"/>
    <col customWidth="1" min="6" max="6" width="27.25"/>
    <col customWidth="1" min="9" max="9" width="11.88"/>
  </cols>
  <sheetData>
    <row r="1">
      <c r="A1" s="1" t="str">
        <f>IFERROR(__xludf.DUMMYFUNCTION("GOOGLETRANSLATE('Indonesia SEOJK 2'!A1,""IN"",""EN"")"),"LIST OF BPR OPERATIONAL LIMITS THAT MAY NOT BE VIOLATED")</f>
        <v>LIST OF BPR OPERATIONAL LIMITS THAT MAY NOT BE VIOLATED</v>
      </c>
    </row>
    <row r="2">
      <c r="A2" s="1" t="str">
        <f>IFERROR(__xludf.DUMMYFUNCTION("GOOGLETRANSLATE('Indonesia SEOJK 2'!A2,""IN"",""EN"")"),"IN ACCORDANCE WITH THE PROVISIONS: NO 2/SEOJK.03/2025 CONCERNING THE OBLIGATION TO PROVIDE MINIMUM CAPITAL AND FULFILLMENT OF MINIMUM CORE CAPITAL FOR PEOPLE'S BANKS")</f>
        <v>IN ACCORDANCE WITH THE PROVISIONS: NO 2/SEOJK.03/2025 CONCERNING THE OBLIGATION TO PROVIDE MINIMUM CAPITAL AND FULFILLMENT OF MINIMUM CORE CAPITAL FOR PEOPLE'S BANKS</v>
      </c>
    </row>
    <row r="4" ht="28.5" customHeight="1">
      <c r="A4" s="25" t="s">
        <v>2</v>
      </c>
      <c r="B4" s="25" t="str">
        <f>IFERROR(__xludf.DUMMYFUNCTION("GOOGLETRANSLATE('Indonesia SEOJK 2'!B4,""IN"",""EN"")"),"Operational Limitations")</f>
        <v>Operational Limitations</v>
      </c>
      <c r="C4" s="25" t="str">
        <f>IFERROR(__xludf.DUMMYFUNCTION("GOOGLETRANSLATE('Indonesia SEOJK 2'!C4,""IN"",""EN"")"),"Article Reference")</f>
        <v>Article Reference</v>
      </c>
      <c r="D4" s="25" t="str">
        <f>IFERROR(__xludf.DUMMYFUNCTION("GOOGLETRANSLATE('Indonesia SEOJK 2'!D4,""IN"",""EN"")"),"Limitation Provisions")</f>
        <v>Limitation Provisions</v>
      </c>
      <c r="E4" s="25" t="str">
        <f>IFERROR(__xludf.DUMMYFUNCTION("GOOGLETRANSLATE('Indonesia SEOJK 2'!E4,""IN"",""EN"")"),"Risks / Consequences If Violated")</f>
        <v>Risks / Consequences If Violated</v>
      </c>
    </row>
    <row r="5">
      <c r="A5" s="11">
        <v>1.0</v>
      </c>
      <c r="B5" s="5" t="str">
        <f>IFERROR(__xludf.DUMMYFUNCTION("GOOGLETRANSLATE('Indonesia SEOJK 2'!B5,""IN"",""EN"")"),"Minimum Core Capital")</f>
        <v>Minimum Core Capital</v>
      </c>
      <c r="C5" s="5" t="str">
        <f>IFERROR(__xludf.DUMMYFUNCTION("GOOGLETRANSLATE('Indonesia SEOJK 2'!C5,""IN"",""EN"")"),"SEOJK 2/SEOJK.03/2025 Part V number 1")</f>
        <v>SEOJK 2/SEOJK.03/2025 Part V number 1</v>
      </c>
      <c r="D5" s="5" t="str">
        <f>IFERROR(__xludf.DUMMYFUNCTION("GOOGLETRANSLATE('Indonesia SEOJK 2'!D5,""IN"",""EN"")"),"At least Rp. 6 billion")</f>
        <v>At least Rp. 6 billion</v>
      </c>
      <c r="E5" s="5" t="str">
        <f>IFERROR(__xludf.DUMMYFUNCTION("GOOGLETRANSLATE('Indonesia SEOJK 2'!E5,""IN"",""EN"")"),"Subject to the obligation to repay the capital within 6 months; no distribution of profits is allowed.")</f>
        <v>Subject to the obligation to repay the capital within 6 months; no distribution of profits is allowed.</v>
      </c>
    </row>
    <row r="6">
      <c r="A6" s="11">
        <v>2.0</v>
      </c>
      <c r="B6" s="5" t="str">
        <f>IFERROR(__xludf.DUMMYFUNCTION("GOOGLETRANSLATE('Indonesia SEOJK 2'!B6,""IN"",""EN"")"),"Core Capital Decrease &lt; Rp6 billion")</f>
        <v>Core Capital Decrease &lt; Rp6 billion</v>
      </c>
      <c r="C6" s="5" t="str">
        <f>IFERROR(__xludf.DUMMYFUNCTION("GOOGLETRANSLATE('Indonesia SEOJK 2'!C6,""IN"",""EN"")"),"SEOJK 2/SEOJK.03/2025 Part V number 2")</f>
        <v>SEOJK 2/SEOJK.03/2025 Part V number 2</v>
      </c>
      <c r="D6" s="5" t="str">
        <f>IFERROR(__xludf.DUMMYFUNCTION("GOOGLETRANSLATE('Indonesia SEOJK 2'!D6,""IN"",""EN"")"),"Must be upgraded again in max. 6 months")</f>
        <v>Must be upgraded again in max. 6 months</v>
      </c>
      <c r="E6" s="5" t="str">
        <f>IFERROR(__xludf.DUMMYFUNCTION("GOOGLETRANSLATE('Indonesia SEOJK 2'!E6,""IN"",""EN"")"),"Administrative sanctions, intensive supervision, or restrictions on business activities.")</f>
        <v>Administrative sanctions, intensive supervision, or restrictions on business activities.</v>
      </c>
    </row>
    <row r="7">
      <c r="A7" s="11">
        <v>3.0</v>
      </c>
      <c r="B7" s="5" t="str">
        <f>IFERROR(__xludf.DUMMYFUNCTION("GOOGLETRANSLATE('Indonesia SEOJK 2'!B7,""IN"",""EN"")"),"Distribution of Profit if Core Capital is Not Yet IDR 6 Billion")</f>
        <v>Distribution of Profit if Core Capital is Not Yet IDR 6 Billion</v>
      </c>
      <c r="C7" s="5" t="str">
        <f>IFERROR(__xludf.DUMMYFUNCTION("GOOGLETRANSLATE('Indonesia SEOJK 2'!C7,""IN"",""EN"")"),"SEOJK 2/SEOJK.03/2025 Part V number 3")</f>
        <v>SEOJK 2/SEOJK.03/2025 Part V number 3</v>
      </c>
      <c r="D7" s="5" t="str">
        <f>IFERROR(__xludf.DUMMYFUNCTION("GOOGLETRANSLATE('Indonesia SEOJK 2'!D7,""IN"",""EN"")"),"It is prohibited to distribute profits/dividends/bonuses")</f>
        <v>It is prohibited to distribute profits/dividends/bonuses</v>
      </c>
      <c r="E7" s="5" t="str">
        <f>IFERROR(__xludf.DUMMYFUNCTION("GOOGLETRANSLATE('Indonesia SEOJK 2'!E7,""IN"",""EN"")"),"Can be declared to have violated governance, subject to sanctions from OJK.")</f>
        <v>Can be declared to have violated governance, subject to sanctions from OJK.</v>
      </c>
    </row>
    <row r="8">
      <c r="A8" s="11">
        <v>4.0</v>
      </c>
      <c r="B8" s="5" t="str">
        <f>IFERROR(__xludf.DUMMYFUNCTION("GOOGLETRANSLATE('Indonesia SEOJK 2'!B8,""IN"",""EN"")"),"Minimum KPMM Ratio")</f>
        <v>Minimum KPMM Ratio</v>
      </c>
      <c r="C8" s="5" t="str">
        <f>IFERROR(__xludf.DUMMYFUNCTION("GOOGLETRANSLATE('Indonesia SEOJK 2'!C8,""IN"",""EN"")"),"SEOJK 2/SEOJK.03/2025 Part IV number 4")</f>
        <v>SEOJK 2/SEOJK.03/2025 Part IV number 4</v>
      </c>
      <c r="D8" s="5" t="str">
        <f>IFERROR(__xludf.DUMMYFUNCTION("GOOGLETRANSLATE('Indonesia SEOJK 2'!D8,""IN"",""EN"")"),"Mandatory ≥ 12% of ATMR")</f>
        <v>Mandatory ≥ 12% of ATMR</v>
      </c>
      <c r="E8" s="5" t="str">
        <f>IFERROR(__xludf.DUMMYFUNCTION("GOOGLETRANSLATE('Indonesia SEOJK 2'!E8,""IN"",""EN"")"),"Undercapitalization risk, tight supervision, declining public confidence.")</f>
        <v>Undercapitalization risk, tight supervision, declining public confidence.</v>
      </c>
    </row>
    <row r="9">
      <c r="A9" s="11">
        <v>5.0</v>
      </c>
      <c r="B9" s="5" t="str">
        <f>IFERROR(__xludf.DUMMYFUNCTION("GOOGLETRANSLATE('Indonesia SEOJK 2'!B9,""IN"",""EN"")"),"Minimum Core Capital Ratio to ATMR")</f>
        <v>Minimum Core Capital Ratio to ATMR</v>
      </c>
      <c r="C9" s="5" t="str">
        <f>IFERROR(__xludf.DUMMYFUNCTION("GOOGLETRANSLATE('Indonesia SEOJK 2'!C9,""IN"",""EN"")"),"SEOJK 2/SEOJK.03/2025 Part IV number 4")</f>
        <v>SEOJK 2/SEOJK.03/2025 Part IV number 4</v>
      </c>
      <c r="D9" s="5" t="str">
        <f>IFERROR(__xludf.DUMMYFUNCTION("GOOGLETRANSLATE('Indonesia SEOJK 2'!D9,""IN"",""EN"")"),"Mandatory ≥ 8% of ATMR")</f>
        <v>Mandatory ≥ 8% of ATMR</v>
      </c>
      <c r="E9" s="5" t="str">
        <f>IFERROR(__xludf.DUMMYFUNCTION("GOOGLETRANSLATE('Indonesia SEOJK 2'!E9,""IN"",""EN"")"),"Not worth expanding the business, need recapitalization.")</f>
        <v>Not worth expanding the business, need recapitalization.</v>
      </c>
    </row>
    <row r="10">
      <c r="A10" s="11">
        <v>6.0</v>
      </c>
      <c r="B10" s="5" t="str">
        <f>IFERROR(__xludf.DUMMYFUNCTION("GOOGLETRANSLATE('Indonesia SEOJK 2'!B10,""IN"",""EN"")"),"AYDA &amp; Abandoned Property &gt; 1 year")</f>
        <v>AYDA &amp; Abandoned Property &gt; 1 year</v>
      </c>
      <c r="C10" s="5" t="str">
        <f>IFERROR(__xludf.DUMMYFUNCTION("GOOGLETRANSLATE('Indonesia SEOJK 2'!C10,""IN"",""EN"")"),"SEOJK 2/SEOJK.03/2025 Appendix I points 1.1.2.11–1.1.2.13")</f>
        <v>SEOJK 2/SEOJK.03/2025 Appendix I points 1.1.2.11–1.1.2.13</v>
      </c>
      <c r="D10" s="5" t="str">
        <f>IFERROR(__xludf.DUMMYFUNCTION("GOOGLETRANSLATE('Indonesia SEOJK 2'!D10,""IN"",""EN"")"),"Calculated as a capital reduction factor")</f>
        <v>Calculated as a capital reduction factor</v>
      </c>
      <c r="E10" s="5" t="str">
        <f>IFERROR(__xludf.DUMMYFUNCTION("GOOGLETRANSLATE('Indonesia SEOJK 2'!E10,""IN"",""EN"")"),"Risk of capital overstatement, if not corrected → financial reporting violation.")</f>
        <v>Risk of capital overstatement, if not corrected → financial reporting violation.</v>
      </c>
    </row>
    <row r="11">
      <c r="A11" s="11">
        <v>7.0</v>
      </c>
      <c r="B11" s="5" t="str">
        <f>IFERROR(__xludf.DUMMYFUNCTION("GOOGLETRANSLATE('Indonesia SEOJK 2'!B11,""IN"",""EN"")"),"Invalid/Incomplete Capital Deposit")</f>
        <v>Invalid/Incomplete Capital Deposit</v>
      </c>
      <c r="C11" s="5" t="str">
        <f>IFERROR(__xludf.DUMMYFUNCTION("GOOGLETRANSLATE('Indonesia SEOJK 2'!C11,""IN"",""EN"")"),"SEOJK 2/SEOJK.03/2025 II number 2")</f>
        <v>SEOJK 2/SEOJK.03/2025 II number 2</v>
      </c>
      <c r="D11" s="5" t="str">
        <f>IFERROR(__xludf.DUMMYFUNCTION("GOOGLETRANSLATE('Indonesia SEOJK 2'!D11,""IN"",""EN"")"),"Only recognized as core capital if approval has been received and the documents are complete.")</f>
        <v>Only recognized as core capital if approval has been received and the documents are complete.</v>
      </c>
      <c r="E11" s="5" t="str">
        <f>IFERROR(__xludf.DUMMYFUNCTION("GOOGLETRANSLATE('Indonesia SEOJK 2'!E11,""IN"",""EN"")"),"If not yet valid: cannot be counted as capital → potential KPMM violation")</f>
        <v>If not yet valid: cannot be counted as capital → potential KPMM violation</v>
      </c>
    </row>
    <row r="12">
      <c r="A12" s="11">
        <v>8.0</v>
      </c>
      <c r="B12" s="5" t="str">
        <f>IFERROR(__xludf.DUMMYFUNCTION("GOOGLETRANSLATE('Indonesia SEOJK 2'!B12,""IN"",""EN"")"),"Risk Weight Not According to ATMR")</f>
        <v>Risk Weight Not According to ATMR</v>
      </c>
      <c r="C12" s="5" t="str">
        <f>IFERROR(__xludf.DUMMYFUNCTION("GOOGLETRANSLATE('Indonesia SEOJK 2'!C12,""IN"",""EN"")"),"SEOJK 2/SEOJK.03/2025 Part III number 5 and Attachment II")</f>
        <v>SEOJK 2/SEOJK.03/2025 Part III number 5 and Attachment II</v>
      </c>
      <c r="D12" s="5" t="str">
        <f>IFERROR(__xludf.DUMMYFUNCTION("GOOGLETRANSLATE('Indonesia SEOJK 2'!D12,""IN"",""EN"")"),"Must calculate ATMR according to asset risk weight")</f>
        <v>Must calculate ATMR according to asset risk weight</v>
      </c>
      <c r="E12" s="5" t="str">
        <f>IFERROR(__xludf.DUMMYFUNCTION("GOOGLETRANSLATE('Indonesia SEOJK 2'!E12,""IN"",""EN"")"),"Risk of inappropriate ATMR reporting, potential hidden capital shortages.")</f>
        <v>Risk of inappropriate ATMR reporting, potential hidden capital shortages.</v>
      </c>
    </row>
    <row r="13">
      <c r="A13" s="11">
        <v>9.0</v>
      </c>
      <c r="B13" s="5" t="str">
        <f>IFERROR(__xludf.DUMMYFUNCTION("GOOGLETRANSLATE('Indonesia SEOJK 2'!B13,""IN"",""EN"")"),"Supplementary Capital Components Exceeding 100% of Core Capital")</f>
        <v>Supplementary Capital Components Exceeding 100% of Core Capital</v>
      </c>
      <c r="C13" s="5" t="str">
        <f>IFERROR(__xludf.DUMMYFUNCTION("GOOGLETRANSLATE('Indonesia SEOJK 2'!C13,""IN"",""EN"")"),"SEOJK 2/SEOJK.03/2025 Attachment I part II.4")</f>
        <v>SEOJK 2/SEOJK.03/2025 Attachment I part II.4</v>
      </c>
      <c r="D13" s="5" t="str">
        <f>IFERROR(__xludf.DUMMYFUNCTION("GOOGLETRANSLATE('Indonesia SEOJK 2'!D13,""IN"",""EN"")"),"It cannot be more than 100% of core capital")</f>
        <v>It cannot be more than 100% of core capital</v>
      </c>
      <c r="E13" s="5" t="str">
        <f>IFERROR(__xludf.DUMMYFUNCTION("GOOGLETRANSLATE('Indonesia SEOJK 2'!E13,""IN"",""EN"")"),"Pseudo capital bubble, violation of capital composition.")</f>
        <v>Pseudo capital bubble, violation of capital composition.</v>
      </c>
    </row>
    <row r="16">
      <c r="A16" s="14" t="str">
        <f>IFERROR(__xludf.DUMMYFUNCTION("GOOGLETRANSLATE('Indonesia SEOJK 2'!A16,""IN"",""EN"")"),"SEOJK11 OBLIGATION MONITORING MECHANISM")</f>
        <v>SEOJK11 OBLIGATION MONITORING MECHANISM</v>
      </c>
    </row>
    <row r="18" ht="22.5" customHeight="1">
      <c r="A18" s="25" t="str">
        <f>IFERROR(__xludf.DUMMYFUNCTION("GOOGLETRANSLATE('Indonesia SEOJK 2'!A18,""IN"",""EN"")"),"No")</f>
        <v>No</v>
      </c>
      <c r="B18" s="25" t="str">
        <f>IFERROR(__xludf.DUMMYFUNCTION("GOOGLETRANSLATE('Indonesia SEOJK 2'!B18,""IN"",""EN"")"),"Supervision Aspects")</f>
        <v>Supervision Aspects</v>
      </c>
      <c r="C18" s="25" t="str">
        <f>IFERROR(__xludf.DUMMYFUNCTION("GOOGLETRANSLATE('Indonesia SEOJK 2'!C18,""IN"",""EN"")"),"Actual Value (%)")</f>
        <v>Actual Value (%)</v>
      </c>
      <c r="D18" s="25" t="str">
        <f>IFERROR(__xludf.DUMMYFUNCTION("GOOGLETRANSLATE('Indonesia SEOJK 2'!D18,""IN"",""EN"")"),"Minimum Limit")</f>
        <v>Minimum Limit</v>
      </c>
      <c r="E18" s="25" t="str">
        <f>IFERROR(__xludf.DUMMYFUNCTION("GOOGLETRANSLATE('Indonesia SEOJK 2'!E18,""IN"",""EN"")"),"Status")</f>
        <v>Status</v>
      </c>
      <c r="F18" s="25" t="str">
        <f>IFERROR(__xludf.DUMMYFUNCTION("GOOGLETRANSLATE('Indonesia SEOJK 2'!F18,""IN"",""EN"")"),"Action")</f>
        <v>Action</v>
      </c>
    </row>
    <row r="19">
      <c r="A19" s="11">
        <v>1.0</v>
      </c>
      <c r="B19" s="5" t="str">
        <f>IFERROR(__xludf.DUMMYFUNCTION("GOOGLETRANSLATE('Indonesia SEOJK 2'!B19,""IN"",""EN"")"),"Core Capital (Rp)")</f>
        <v>Core Capital (Rp)</v>
      </c>
      <c r="C19" s="8" t="s">
        <v>268</v>
      </c>
      <c r="D19" s="5" t="str">
        <f>IFERROR(__xludf.DUMMYFUNCTION("GOOGLETRANSLATE('Indonesia SEOJK 2'!D19,""IN"",""EN"")"),"Rp. 6,000,000,000")</f>
        <v>Rp. 6,000,000,000</v>
      </c>
      <c r="E19" s="8" t="s">
        <v>270</v>
      </c>
      <c r="F19" s="23"/>
    </row>
    <row r="20">
      <c r="A20" s="11">
        <v>2.0</v>
      </c>
      <c r="B20" s="5" t="str">
        <f>IFERROR(__xludf.DUMMYFUNCTION("GOOGLETRANSLATE('Indonesia SEOJK 2'!B20,""IN"",""EN"")"),"KPMM Ratio (%)")</f>
        <v>KPMM Ratio (%)</v>
      </c>
      <c r="C20" s="8" t="s">
        <v>272</v>
      </c>
      <c r="D20" s="5" t="str">
        <f>IFERROR(__xludf.DUMMYFUNCTION("GOOGLETRANSLATE('Indonesia SEOJK 2'!D20,""IN"",""EN"")"),"≥ 12%")</f>
        <v>≥ 12%</v>
      </c>
      <c r="E20" s="8" t="s">
        <v>270</v>
      </c>
      <c r="F20" s="23"/>
    </row>
    <row r="21">
      <c r="A21" s="11">
        <v>3.0</v>
      </c>
      <c r="B21" s="5" t="str">
        <f>IFERROR(__xludf.DUMMYFUNCTION("GOOGLETRANSLATE('Indonesia SEOJK 2'!B21,""IN"",""EN"")"),"Core Capital Ratio / ATMR")</f>
        <v>Core Capital Ratio / ATMR</v>
      </c>
      <c r="C21" s="8" t="s">
        <v>272</v>
      </c>
      <c r="D21" s="5" t="str">
        <f>IFERROR(__xludf.DUMMYFUNCTION("GOOGLETRANSLATE('Indonesia SEOJK 2'!D21,""IN"",""EN"")"),"≥ 8%")</f>
        <v>≥ 8%</v>
      </c>
      <c r="E21" s="8" t="s">
        <v>270</v>
      </c>
      <c r="F21" s="23"/>
    </row>
    <row r="22">
      <c r="A22" s="11">
        <v>4.0</v>
      </c>
      <c r="B22" s="5" t="str">
        <f>IFERROR(__xludf.DUMMYFUNCTION("GOOGLETRANSLATE('Indonesia SEOJK 2'!B22,""IN"",""EN"")"),"Total Supplementary Capital Components")</f>
        <v>Total Supplementary Capital Components</v>
      </c>
      <c r="C22" s="8" t="s">
        <v>268</v>
      </c>
      <c r="D22" s="5" t="str">
        <f>IFERROR(__xludf.DUMMYFUNCTION("GOOGLETRANSLATE('Indonesia SEOJK 2'!D22,""IN"",""EN"")"),"≤ 100% Core Capital")</f>
        <v>≤ 100% Core Capital</v>
      </c>
      <c r="E22" s="8" t="s">
        <v>270</v>
      </c>
      <c r="F22" s="23"/>
    </row>
    <row r="23">
      <c r="A23" s="4">
        <v>5.0</v>
      </c>
      <c r="B23" s="5" t="str">
        <f>IFERROR(__xludf.DUMMYFUNCTION("GOOGLETRANSLATE('Indonesia SEOJK 2'!B23,""IN"",""EN"")"),"AYDA &gt; 1 year")</f>
        <v>AYDA &gt; 1 year</v>
      </c>
      <c r="C23" s="8" t="s">
        <v>268</v>
      </c>
      <c r="D23" s="5" t="str">
        <f>IFERROR(__xludf.DUMMYFUNCTION("GOOGLETRANSLATE('Indonesia SEOJK 2'!D23,""IN"",""EN"")"),"Must be reduced")</f>
        <v>Must be reduced</v>
      </c>
      <c r="E23" s="5" t="str">
        <f>IFERROR(__xludf.DUMMYFUNCTION("GOOGLETRANSLATE('Indonesia SEOJK 2'!E23,""IN"",""EN"")"),"⚠️ if not yet")</f>
        <v>⚠️ if not yet</v>
      </c>
      <c r="F23" s="23"/>
    </row>
    <row r="24">
      <c r="A24" s="4">
        <v>6.0</v>
      </c>
      <c r="B24" s="5" t="str">
        <f>IFERROR(__xludf.DUMMYFUNCTION("GOOGLETRANSLATE('Indonesia SEOJK 2'!B24,""IN"",""EN"")"),"Abandoned Property &gt; 1 year")</f>
        <v>Abandoned Property &gt; 1 year</v>
      </c>
      <c r="C24" s="8" t="s">
        <v>268</v>
      </c>
      <c r="D24" s="5" t="str">
        <f>IFERROR(__xludf.DUMMYFUNCTION("GOOGLETRANSLATE('Indonesia SEOJK 2'!D24,""IN"",""EN"")"),"Must be reduced")</f>
        <v>Must be reduced</v>
      </c>
      <c r="E24" s="5" t="str">
        <f>IFERROR(__xludf.DUMMYFUNCTION("GOOGLETRANSLATE('Indonesia SEOJK 2'!E24,""IN"",""EN"")"),"⚠️ if not yet")</f>
        <v>⚠️ if not yet</v>
      </c>
      <c r="F24" s="24"/>
    </row>
    <row r="25">
      <c r="A25" s="4">
        <v>7.0</v>
      </c>
      <c r="B25" s="5" t="str">
        <f>IFERROR(__xludf.DUMMYFUNCTION("GOOGLETRANSLATE('Indonesia SEOJK 2'!B25,""IN"",""EN"")"),"DSM Not Yet Approved")</f>
        <v>DSM Not Yet Approved</v>
      </c>
      <c r="C25" s="8" t="s">
        <v>268</v>
      </c>
      <c r="D25" s="5" t="str">
        <f>IFERROR(__xludf.DUMMYFUNCTION("GOOGLETRANSLATE('Indonesia SEOJK 2'!D25,""IN"",""EN"")"),"Cannot be counted as capital")</f>
        <v>Cannot be counted as capital</v>
      </c>
      <c r="E25" s="5" t="str">
        <f>IFERROR(__xludf.DUMMYFUNCTION("GOOGLETRANSLATE('Indonesia SEOJK 2'!E25,""IN"",""EN"")"),"⚠️ if not complete")</f>
        <v>⚠️ if not complete</v>
      </c>
      <c r="F25" s="24"/>
    </row>
  </sheetData>
  <mergeCells count="3">
    <mergeCell ref="A2:E2"/>
    <mergeCell ref="A1:E1"/>
    <mergeCell ref="A16:E16"/>
  </mergeCells>
  <drawing r:id="rId1"/>
</worksheet>
</file>